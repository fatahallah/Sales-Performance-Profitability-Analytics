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/>
  <mc:AlternateContent xmlns:mc="http://schemas.openxmlformats.org/markup-compatibility/2006">
    <mc:Choice Requires="x15">
      <x15ac:absPath xmlns:x15ac="http://schemas.microsoft.com/office/spreadsheetml/2010/11/ac" url="D:\Portfolio\"/>
    </mc:Choice>
  </mc:AlternateContent>
  <xr:revisionPtr revIDLastSave="0" documentId="13_ncr:1_{A4A16C32-E654-4646-B640-19ABDDA67D93}" xr6:coauthVersionLast="47" xr6:coauthVersionMax="47" xr10:uidLastSave="{00000000-0000-0000-0000-000000000000}"/>
  <bookViews>
    <workbookView xWindow="-108" yWindow="-108" windowWidth="23256" windowHeight="12576" tabRatio="500" xr2:uid="{00000000-000D-0000-FFFF-FFFF00000000}"/>
  </bookViews>
  <sheets>
    <sheet name="README" sheetId="1" r:id="rId1"/>
    <sheet name="Employees" sheetId="2" r:id="rId2"/>
    <sheet name="Attendance" sheetId="3" r:id="rId3"/>
    <sheet name="Payroll" sheetId="4" r:id="rId4"/>
    <sheet name="HR Report" sheetId="5" r:id="rId5"/>
    <sheet name="Dashboard" sheetId="6" r:id="rId6"/>
  </sheets>
  <calcPr calcId="191029" iterateDelta="1E-4"/>
  <pivotCaches>
    <pivotCache cacheId="4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31" i="5" l="1"/>
  <c r="C31" i="5"/>
  <c r="B32" i="5"/>
  <c r="C32" i="5"/>
  <c r="B33" i="5"/>
  <c r="C33" i="5"/>
  <c r="B34" i="5"/>
  <c r="C34" i="5"/>
  <c r="B35" i="5"/>
  <c r="C35" i="5"/>
  <c r="B36" i="5"/>
  <c r="C36" i="5"/>
  <c r="B25" i="5"/>
  <c r="B24" i="5"/>
  <c r="B23" i="5"/>
  <c r="B22" i="5"/>
  <c r="B21" i="5"/>
  <c r="B20" i="5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E36" i="4"/>
  <c r="F36" i="4" s="1"/>
  <c r="D36" i="4"/>
  <c r="I36" i="4" s="1"/>
  <c r="C36" i="4"/>
  <c r="B36" i="4"/>
  <c r="F35" i="4"/>
  <c r="E35" i="4"/>
  <c r="D35" i="4"/>
  <c r="I35" i="4" s="1"/>
  <c r="C35" i="4"/>
  <c r="B35" i="4"/>
  <c r="K34" i="4"/>
  <c r="I34" i="4"/>
  <c r="E34" i="4"/>
  <c r="F34" i="4" s="1"/>
  <c r="D34" i="4"/>
  <c r="C34" i="4"/>
  <c r="B34" i="4"/>
  <c r="F33" i="4"/>
  <c r="K33" i="4" s="1"/>
  <c r="E33" i="4"/>
  <c r="D33" i="4"/>
  <c r="I33" i="4" s="1"/>
  <c r="C33" i="4"/>
  <c r="B33" i="4"/>
  <c r="I32" i="4"/>
  <c r="E32" i="4"/>
  <c r="F32" i="4" s="1"/>
  <c r="K32" i="4" s="1"/>
  <c r="D32" i="4"/>
  <c r="C32" i="4"/>
  <c r="B32" i="4"/>
  <c r="F31" i="4"/>
  <c r="K31" i="4" s="1"/>
  <c r="E31" i="4"/>
  <c r="D31" i="4"/>
  <c r="I31" i="4" s="1"/>
  <c r="C31" i="4"/>
  <c r="B31" i="4"/>
  <c r="I30" i="4"/>
  <c r="K30" i="4" s="1"/>
  <c r="M30" i="4" s="1"/>
  <c r="E30" i="4"/>
  <c r="F30" i="4" s="1"/>
  <c r="D30" i="4"/>
  <c r="C30" i="4"/>
  <c r="B30" i="4"/>
  <c r="J29" i="4"/>
  <c r="F29" i="4"/>
  <c r="E29" i="4"/>
  <c r="D29" i="4"/>
  <c r="I29" i="4" s="1"/>
  <c r="C29" i="4"/>
  <c r="B29" i="4"/>
  <c r="I28" i="4"/>
  <c r="K28" i="4" s="1"/>
  <c r="E28" i="4"/>
  <c r="F28" i="4" s="1"/>
  <c r="D28" i="4"/>
  <c r="C28" i="4"/>
  <c r="B28" i="4"/>
  <c r="F27" i="4"/>
  <c r="E27" i="4"/>
  <c r="D27" i="4"/>
  <c r="I27" i="4" s="1"/>
  <c r="C27" i="4"/>
  <c r="B27" i="4"/>
  <c r="K26" i="4"/>
  <c r="I26" i="4"/>
  <c r="E26" i="4"/>
  <c r="F26" i="4" s="1"/>
  <c r="D26" i="4"/>
  <c r="C26" i="4"/>
  <c r="B26" i="4"/>
  <c r="F25" i="4"/>
  <c r="K25" i="4" s="1"/>
  <c r="E25" i="4"/>
  <c r="D25" i="4"/>
  <c r="I25" i="4" s="1"/>
  <c r="C25" i="4"/>
  <c r="B25" i="4"/>
  <c r="I24" i="4"/>
  <c r="E24" i="4"/>
  <c r="F24" i="4" s="1"/>
  <c r="K24" i="4" s="1"/>
  <c r="D24" i="4"/>
  <c r="C24" i="4"/>
  <c r="B24" i="4"/>
  <c r="F23" i="4"/>
  <c r="K23" i="4" s="1"/>
  <c r="E23" i="4"/>
  <c r="D23" i="4"/>
  <c r="I23" i="4" s="1"/>
  <c r="C23" i="4"/>
  <c r="B23" i="4"/>
  <c r="I22" i="4"/>
  <c r="K22" i="4" s="1"/>
  <c r="E22" i="4"/>
  <c r="F22" i="4" s="1"/>
  <c r="D22" i="4"/>
  <c r="C22" i="4"/>
  <c r="B22" i="4"/>
  <c r="J21" i="4"/>
  <c r="F21" i="4"/>
  <c r="E21" i="4"/>
  <c r="D21" i="4"/>
  <c r="I21" i="4" s="1"/>
  <c r="C21" i="4"/>
  <c r="B21" i="4"/>
  <c r="I20" i="4"/>
  <c r="K20" i="4" s="1"/>
  <c r="E20" i="4"/>
  <c r="F20" i="4" s="1"/>
  <c r="D20" i="4"/>
  <c r="C20" i="4"/>
  <c r="B20" i="4"/>
  <c r="F19" i="4"/>
  <c r="E19" i="4"/>
  <c r="D19" i="4"/>
  <c r="I19" i="4" s="1"/>
  <c r="C19" i="4"/>
  <c r="B19" i="4"/>
  <c r="K18" i="4"/>
  <c r="I18" i="4"/>
  <c r="E18" i="4"/>
  <c r="F18" i="4" s="1"/>
  <c r="D18" i="4"/>
  <c r="C18" i="4"/>
  <c r="B18" i="4"/>
  <c r="F17" i="4"/>
  <c r="K17" i="4" s="1"/>
  <c r="E17" i="4"/>
  <c r="D17" i="4"/>
  <c r="I17" i="4" s="1"/>
  <c r="C17" i="4"/>
  <c r="B17" i="4"/>
  <c r="I16" i="4"/>
  <c r="E16" i="4"/>
  <c r="F16" i="4" s="1"/>
  <c r="K16" i="4" s="1"/>
  <c r="D16" i="4"/>
  <c r="C16" i="4"/>
  <c r="B16" i="4"/>
  <c r="F15" i="4"/>
  <c r="K15" i="4" s="1"/>
  <c r="E15" i="4"/>
  <c r="D15" i="4"/>
  <c r="I15" i="4" s="1"/>
  <c r="C15" i="4"/>
  <c r="B15" i="4"/>
  <c r="I14" i="4"/>
  <c r="K14" i="4" s="1"/>
  <c r="M14" i="4" s="1"/>
  <c r="E14" i="4"/>
  <c r="F14" i="4" s="1"/>
  <c r="D14" i="4"/>
  <c r="C14" i="4"/>
  <c r="B14" i="4"/>
  <c r="J13" i="4"/>
  <c r="F13" i="4"/>
  <c r="E13" i="4"/>
  <c r="D13" i="4"/>
  <c r="I13" i="4" s="1"/>
  <c r="C13" i="4"/>
  <c r="B13" i="4"/>
  <c r="I12" i="4"/>
  <c r="K12" i="4" s="1"/>
  <c r="E12" i="4"/>
  <c r="F12" i="4" s="1"/>
  <c r="D12" i="4"/>
  <c r="C12" i="4"/>
  <c r="B12" i="4"/>
  <c r="F11" i="4"/>
  <c r="E11" i="4"/>
  <c r="D11" i="4"/>
  <c r="I11" i="4" s="1"/>
  <c r="C11" i="4"/>
  <c r="B11" i="4"/>
  <c r="K10" i="4"/>
  <c r="I10" i="4"/>
  <c r="E10" i="4"/>
  <c r="F10" i="4" s="1"/>
  <c r="D10" i="4"/>
  <c r="C10" i="4"/>
  <c r="B10" i="4"/>
  <c r="F9" i="4"/>
  <c r="K9" i="4" s="1"/>
  <c r="E9" i="4"/>
  <c r="D9" i="4"/>
  <c r="I9" i="4" s="1"/>
  <c r="C9" i="4"/>
  <c r="B9" i="4"/>
  <c r="I8" i="4"/>
  <c r="E8" i="4"/>
  <c r="F8" i="4" s="1"/>
  <c r="K8" i="4" s="1"/>
  <c r="D8" i="4"/>
  <c r="C8" i="4"/>
  <c r="B8" i="4"/>
  <c r="F7" i="4"/>
  <c r="K7" i="4" s="1"/>
  <c r="E7" i="4"/>
  <c r="D7" i="4"/>
  <c r="I7" i="4" s="1"/>
  <c r="C7" i="4"/>
  <c r="B7" i="4"/>
  <c r="I6" i="4"/>
  <c r="K6" i="4" s="1"/>
  <c r="E6" i="4"/>
  <c r="F6" i="4" s="1"/>
  <c r="D6" i="4"/>
  <c r="C6" i="4"/>
  <c r="B6" i="4"/>
  <c r="H5" i="4"/>
  <c r="J5" i="4" s="1"/>
  <c r="F5" i="4"/>
  <c r="E5" i="4"/>
  <c r="D5" i="4"/>
  <c r="I5" i="4" s="1"/>
  <c r="C5" i="4"/>
  <c r="B5" i="4"/>
  <c r="I4" i="4"/>
  <c r="F4" i="4"/>
  <c r="K4" i="4" s="1"/>
  <c r="E4" i="4"/>
  <c r="D4" i="4"/>
  <c r="C4" i="4"/>
  <c r="B4" i="4"/>
  <c r="F3" i="4"/>
  <c r="K3" i="4" s="1"/>
  <c r="E3" i="4"/>
  <c r="D3" i="4"/>
  <c r="I3" i="4" s="1"/>
  <c r="C3" i="4"/>
  <c r="B3" i="4"/>
  <c r="H2" i="4"/>
  <c r="E2" i="4"/>
  <c r="F2" i="4" s="1"/>
  <c r="D2" i="4"/>
  <c r="C2" i="4"/>
  <c r="B2" i="4"/>
  <c r="H338" i="3"/>
  <c r="G338" i="3"/>
  <c r="F338" i="3"/>
  <c r="E338" i="3"/>
  <c r="H337" i="3"/>
  <c r="G337" i="3"/>
  <c r="F337" i="3"/>
  <c r="E337" i="3"/>
  <c r="H336" i="3"/>
  <c r="G336" i="3"/>
  <c r="F336" i="3"/>
  <c r="E336" i="3"/>
  <c r="H335" i="3"/>
  <c r="G335" i="3"/>
  <c r="F335" i="3"/>
  <c r="E335" i="3"/>
  <c r="H334" i="3"/>
  <c r="G334" i="3"/>
  <c r="F334" i="3"/>
  <c r="E334" i="3"/>
  <c r="H333" i="3"/>
  <c r="G333" i="3"/>
  <c r="F333" i="3"/>
  <c r="E333" i="3"/>
  <c r="H332" i="3"/>
  <c r="G332" i="3"/>
  <c r="F332" i="3"/>
  <c r="E332" i="3"/>
  <c r="H331" i="3"/>
  <c r="G331" i="3"/>
  <c r="F331" i="3"/>
  <c r="E331" i="3"/>
  <c r="H330" i="3"/>
  <c r="G330" i="3"/>
  <c r="F330" i="3"/>
  <c r="G36" i="4" s="1"/>
  <c r="L36" i="4" s="1"/>
  <c r="E330" i="3"/>
  <c r="H329" i="3"/>
  <c r="G329" i="3"/>
  <c r="F329" i="3"/>
  <c r="E329" i="3"/>
  <c r="H328" i="3"/>
  <c r="G328" i="3"/>
  <c r="F328" i="3"/>
  <c r="E328" i="3"/>
  <c r="H327" i="3"/>
  <c r="G327" i="3"/>
  <c r="F327" i="3"/>
  <c r="E327" i="3"/>
  <c r="H326" i="3"/>
  <c r="G326" i="3"/>
  <c r="F326" i="3"/>
  <c r="E326" i="3"/>
  <c r="H325" i="3"/>
  <c r="G325" i="3"/>
  <c r="F325" i="3"/>
  <c r="E325" i="3"/>
  <c r="H324" i="3"/>
  <c r="G324" i="3"/>
  <c r="F324" i="3"/>
  <c r="E324" i="3"/>
  <c r="H323" i="3"/>
  <c r="G323" i="3"/>
  <c r="F323" i="3"/>
  <c r="E323" i="3"/>
  <c r="H322" i="3"/>
  <c r="G322" i="3"/>
  <c r="F322" i="3"/>
  <c r="E322" i="3"/>
  <c r="H321" i="3"/>
  <c r="G321" i="3"/>
  <c r="F321" i="3"/>
  <c r="G35" i="4" s="1"/>
  <c r="L35" i="4" s="1"/>
  <c r="E321" i="3"/>
  <c r="H320" i="3"/>
  <c r="G320" i="3"/>
  <c r="F320" i="3"/>
  <c r="E320" i="3"/>
  <c r="H319" i="3"/>
  <c r="G319" i="3"/>
  <c r="F319" i="3"/>
  <c r="E319" i="3"/>
  <c r="H318" i="3"/>
  <c r="G318" i="3"/>
  <c r="F318" i="3"/>
  <c r="E318" i="3"/>
  <c r="H317" i="3"/>
  <c r="G317" i="3"/>
  <c r="F317" i="3"/>
  <c r="E317" i="3"/>
  <c r="H316" i="3"/>
  <c r="G316" i="3"/>
  <c r="F316" i="3"/>
  <c r="E316" i="3"/>
  <c r="H315" i="3"/>
  <c r="G315" i="3"/>
  <c r="F315" i="3"/>
  <c r="E315" i="3"/>
  <c r="H314" i="3"/>
  <c r="G314" i="3"/>
  <c r="F314" i="3"/>
  <c r="E314" i="3"/>
  <c r="H313" i="3"/>
  <c r="G313" i="3"/>
  <c r="F313" i="3"/>
  <c r="E313" i="3"/>
  <c r="H312" i="3"/>
  <c r="G312" i="3"/>
  <c r="F312" i="3"/>
  <c r="E312" i="3"/>
  <c r="H311" i="3"/>
  <c r="G311" i="3"/>
  <c r="J34" i="4" s="1"/>
  <c r="F311" i="3"/>
  <c r="G34" i="4" s="1"/>
  <c r="L34" i="4" s="1"/>
  <c r="E311" i="3"/>
  <c r="H310" i="3"/>
  <c r="G310" i="3"/>
  <c r="F310" i="3"/>
  <c r="E310" i="3"/>
  <c r="H309" i="3"/>
  <c r="G309" i="3"/>
  <c r="F309" i="3"/>
  <c r="E309" i="3"/>
  <c r="H308" i="3"/>
  <c r="G308" i="3"/>
  <c r="F308" i="3"/>
  <c r="E308" i="3"/>
  <c r="H307" i="3"/>
  <c r="G307" i="3"/>
  <c r="F307" i="3"/>
  <c r="E307" i="3"/>
  <c r="H306" i="3"/>
  <c r="G306" i="3"/>
  <c r="F306" i="3"/>
  <c r="E306" i="3"/>
  <c r="H305" i="3"/>
  <c r="G305" i="3"/>
  <c r="F305" i="3"/>
  <c r="E305" i="3"/>
  <c r="H304" i="3"/>
  <c r="G304" i="3"/>
  <c r="F304" i="3"/>
  <c r="E304" i="3"/>
  <c r="H303" i="3"/>
  <c r="G303" i="3"/>
  <c r="F303" i="3"/>
  <c r="E303" i="3"/>
  <c r="H302" i="3"/>
  <c r="G302" i="3"/>
  <c r="F302" i="3"/>
  <c r="E302" i="3"/>
  <c r="H301" i="3"/>
  <c r="G301" i="3"/>
  <c r="F301" i="3"/>
  <c r="G33" i="4" s="1"/>
  <c r="L33" i="4" s="1"/>
  <c r="E301" i="3"/>
  <c r="H300" i="3"/>
  <c r="G300" i="3"/>
  <c r="F300" i="3"/>
  <c r="E300" i="3"/>
  <c r="H299" i="3"/>
  <c r="G299" i="3"/>
  <c r="F299" i="3"/>
  <c r="E299" i="3"/>
  <c r="H298" i="3"/>
  <c r="G298" i="3"/>
  <c r="F298" i="3"/>
  <c r="E298" i="3"/>
  <c r="H297" i="3"/>
  <c r="G297" i="3"/>
  <c r="F297" i="3"/>
  <c r="E297" i="3"/>
  <c r="H296" i="3"/>
  <c r="G296" i="3"/>
  <c r="F296" i="3"/>
  <c r="E296" i="3"/>
  <c r="H295" i="3"/>
  <c r="G295" i="3"/>
  <c r="F295" i="3"/>
  <c r="E295" i="3"/>
  <c r="H294" i="3"/>
  <c r="G294" i="3"/>
  <c r="F294" i="3"/>
  <c r="E294" i="3"/>
  <c r="H293" i="3"/>
  <c r="G293" i="3"/>
  <c r="F293" i="3"/>
  <c r="E293" i="3"/>
  <c r="H292" i="3"/>
  <c r="G292" i="3"/>
  <c r="F292" i="3"/>
  <c r="E292" i="3"/>
  <c r="H291" i="3"/>
  <c r="G291" i="3"/>
  <c r="F291" i="3"/>
  <c r="G32" i="4" s="1"/>
  <c r="L32" i="4" s="1"/>
  <c r="E291" i="3"/>
  <c r="H290" i="3"/>
  <c r="G290" i="3"/>
  <c r="F290" i="3"/>
  <c r="E290" i="3"/>
  <c r="H289" i="3"/>
  <c r="G289" i="3"/>
  <c r="F289" i="3"/>
  <c r="E289" i="3"/>
  <c r="H288" i="3"/>
  <c r="G288" i="3"/>
  <c r="F288" i="3"/>
  <c r="E288" i="3"/>
  <c r="H287" i="3"/>
  <c r="G287" i="3"/>
  <c r="F287" i="3"/>
  <c r="E287" i="3"/>
  <c r="H286" i="3"/>
  <c r="G286" i="3"/>
  <c r="F286" i="3"/>
  <c r="E286" i="3"/>
  <c r="H285" i="3"/>
  <c r="G285" i="3"/>
  <c r="F285" i="3"/>
  <c r="E285" i="3"/>
  <c r="H284" i="3"/>
  <c r="G284" i="3"/>
  <c r="F284" i="3"/>
  <c r="E284" i="3"/>
  <c r="H283" i="3"/>
  <c r="G283" i="3"/>
  <c r="F283" i="3"/>
  <c r="G31" i="4" s="1"/>
  <c r="L31" i="4" s="1"/>
  <c r="E283" i="3"/>
  <c r="H282" i="3"/>
  <c r="G282" i="3"/>
  <c r="F282" i="3"/>
  <c r="E282" i="3"/>
  <c r="H281" i="3"/>
  <c r="G281" i="3"/>
  <c r="F281" i="3"/>
  <c r="E281" i="3"/>
  <c r="H280" i="3"/>
  <c r="G280" i="3"/>
  <c r="F280" i="3"/>
  <c r="E280" i="3"/>
  <c r="H279" i="3"/>
  <c r="G279" i="3"/>
  <c r="F279" i="3"/>
  <c r="E279" i="3"/>
  <c r="H278" i="3"/>
  <c r="G278" i="3"/>
  <c r="F278" i="3"/>
  <c r="E278" i="3"/>
  <c r="H277" i="3"/>
  <c r="G277" i="3"/>
  <c r="F277" i="3"/>
  <c r="E277" i="3"/>
  <c r="H276" i="3"/>
  <c r="G276" i="3"/>
  <c r="F276" i="3"/>
  <c r="E276" i="3"/>
  <c r="H275" i="3"/>
  <c r="G275" i="3"/>
  <c r="F275" i="3"/>
  <c r="E275" i="3"/>
  <c r="H274" i="3"/>
  <c r="G274" i="3"/>
  <c r="J30" i="4" s="1"/>
  <c r="F274" i="3"/>
  <c r="G30" i="4" s="1"/>
  <c r="L30" i="4" s="1"/>
  <c r="E274" i="3"/>
  <c r="H273" i="3"/>
  <c r="G273" i="3"/>
  <c r="F273" i="3"/>
  <c r="E273" i="3"/>
  <c r="H272" i="3"/>
  <c r="G272" i="3"/>
  <c r="F272" i="3"/>
  <c r="E272" i="3"/>
  <c r="H271" i="3"/>
  <c r="G271" i="3"/>
  <c r="F271" i="3"/>
  <c r="E271" i="3"/>
  <c r="H270" i="3"/>
  <c r="G270" i="3"/>
  <c r="F270" i="3"/>
  <c r="E270" i="3"/>
  <c r="H269" i="3"/>
  <c r="G269" i="3"/>
  <c r="F269" i="3"/>
  <c r="E269" i="3"/>
  <c r="H268" i="3"/>
  <c r="G268" i="3"/>
  <c r="F268" i="3"/>
  <c r="E268" i="3"/>
  <c r="H267" i="3"/>
  <c r="G267" i="3"/>
  <c r="F267" i="3"/>
  <c r="E267" i="3"/>
  <c r="H266" i="3"/>
  <c r="G266" i="3"/>
  <c r="F266" i="3"/>
  <c r="E266" i="3"/>
  <c r="H265" i="3"/>
  <c r="G265" i="3"/>
  <c r="F265" i="3"/>
  <c r="E265" i="3"/>
  <c r="H264" i="3"/>
  <c r="G264" i="3"/>
  <c r="F264" i="3"/>
  <c r="G29" i="4" s="1"/>
  <c r="L29" i="4" s="1"/>
  <c r="E264" i="3"/>
  <c r="H263" i="3"/>
  <c r="G263" i="3"/>
  <c r="F263" i="3"/>
  <c r="E263" i="3"/>
  <c r="H262" i="3"/>
  <c r="G262" i="3"/>
  <c r="F262" i="3"/>
  <c r="E262" i="3"/>
  <c r="H261" i="3"/>
  <c r="G261" i="3"/>
  <c r="F261" i="3"/>
  <c r="E261" i="3"/>
  <c r="H260" i="3"/>
  <c r="G260" i="3"/>
  <c r="F260" i="3"/>
  <c r="E260" i="3"/>
  <c r="H259" i="3"/>
  <c r="G259" i="3"/>
  <c r="F259" i="3"/>
  <c r="E259" i="3"/>
  <c r="H258" i="3"/>
  <c r="G258" i="3"/>
  <c r="F258" i="3"/>
  <c r="E258" i="3"/>
  <c r="H257" i="3"/>
  <c r="G257" i="3"/>
  <c r="F257" i="3"/>
  <c r="E257" i="3"/>
  <c r="H256" i="3"/>
  <c r="G256" i="3"/>
  <c r="F256" i="3"/>
  <c r="E256" i="3"/>
  <c r="H255" i="3"/>
  <c r="G255" i="3"/>
  <c r="F255" i="3"/>
  <c r="E255" i="3"/>
  <c r="H254" i="3"/>
  <c r="G254" i="3"/>
  <c r="F254" i="3"/>
  <c r="G28" i="4" s="1"/>
  <c r="L28" i="4" s="1"/>
  <c r="E254" i="3"/>
  <c r="H253" i="3"/>
  <c r="G253" i="3"/>
  <c r="F253" i="3"/>
  <c r="E253" i="3"/>
  <c r="H252" i="3"/>
  <c r="G252" i="3"/>
  <c r="F252" i="3"/>
  <c r="E252" i="3"/>
  <c r="H251" i="3"/>
  <c r="G251" i="3"/>
  <c r="F251" i="3"/>
  <c r="E251" i="3"/>
  <c r="H250" i="3"/>
  <c r="G250" i="3"/>
  <c r="F250" i="3"/>
  <c r="E250" i="3"/>
  <c r="H249" i="3"/>
  <c r="G249" i="3"/>
  <c r="F249" i="3"/>
  <c r="E249" i="3"/>
  <c r="H248" i="3"/>
  <c r="G248" i="3"/>
  <c r="F248" i="3"/>
  <c r="E248" i="3"/>
  <c r="H247" i="3"/>
  <c r="G247" i="3"/>
  <c r="F247" i="3"/>
  <c r="E247" i="3"/>
  <c r="H246" i="3"/>
  <c r="G246" i="3"/>
  <c r="F246" i="3"/>
  <c r="E246" i="3"/>
  <c r="H245" i="3"/>
  <c r="G245" i="3"/>
  <c r="F245" i="3"/>
  <c r="G27" i="4" s="1"/>
  <c r="L27" i="4" s="1"/>
  <c r="E245" i="3"/>
  <c r="H244" i="3"/>
  <c r="G244" i="3"/>
  <c r="F244" i="3"/>
  <c r="E244" i="3"/>
  <c r="H243" i="3"/>
  <c r="G243" i="3"/>
  <c r="F243" i="3"/>
  <c r="E243" i="3"/>
  <c r="H242" i="3"/>
  <c r="G242" i="3"/>
  <c r="F242" i="3"/>
  <c r="E242" i="3"/>
  <c r="H241" i="3"/>
  <c r="G241" i="3"/>
  <c r="F241" i="3"/>
  <c r="E241" i="3"/>
  <c r="H240" i="3"/>
  <c r="G240" i="3"/>
  <c r="F240" i="3"/>
  <c r="E240" i="3"/>
  <c r="H239" i="3"/>
  <c r="G239" i="3"/>
  <c r="F239" i="3"/>
  <c r="E239" i="3"/>
  <c r="H238" i="3"/>
  <c r="G238" i="3"/>
  <c r="F238" i="3"/>
  <c r="E238" i="3"/>
  <c r="H237" i="3"/>
  <c r="G237" i="3"/>
  <c r="F237" i="3"/>
  <c r="E237" i="3"/>
  <c r="H236" i="3"/>
  <c r="G236" i="3"/>
  <c r="J26" i="4" s="1"/>
  <c r="F236" i="3"/>
  <c r="G26" i="4" s="1"/>
  <c r="L26" i="4" s="1"/>
  <c r="E236" i="3"/>
  <c r="H235" i="3"/>
  <c r="G235" i="3"/>
  <c r="F235" i="3"/>
  <c r="E235" i="3"/>
  <c r="H234" i="3"/>
  <c r="G234" i="3"/>
  <c r="F234" i="3"/>
  <c r="E234" i="3"/>
  <c r="H233" i="3"/>
  <c r="G233" i="3"/>
  <c r="F233" i="3"/>
  <c r="E233" i="3"/>
  <c r="H232" i="3"/>
  <c r="G232" i="3"/>
  <c r="F232" i="3"/>
  <c r="E232" i="3"/>
  <c r="H231" i="3"/>
  <c r="G231" i="3"/>
  <c r="F231" i="3"/>
  <c r="E231" i="3"/>
  <c r="H230" i="3"/>
  <c r="G230" i="3"/>
  <c r="F230" i="3"/>
  <c r="E230" i="3"/>
  <c r="H229" i="3"/>
  <c r="G229" i="3"/>
  <c r="F229" i="3"/>
  <c r="E229" i="3"/>
  <c r="H228" i="3"/>
  <c r="G228" i="3"/>
  <c r="F228" i="3"/>
  <c r="E228" i="3"/>
  <c r="H227" i="3"/>
  <c r="G227" i="3"/>
  <c r="F227" i="3"/>
  <c r="E227" i="3"/>
  <c r="H226" i="3"/>
  <c r="G226" i="3"/>
  <c r="J25" i="4" s="1"/>
  <c r="F226" i="3"/>
  <c r="G25" i="4" s="1"/>
  <c r="L25" i="4" s="1"/>
  <c r="E226" i="3"/>
  <c r="H225" i="3"/>
  <c r="G225" i="3"/>
  <c r="F225" i="3"/>
  <c r="E225" i="3"/>
  <c r="H224" i="3"/>
  <c r="G224" i="3"/>
  <c r="F224" i="3"/>
  <c r="E224" i="3"/>
  <c r="H223" i="3"/>
  <c r="G223" i="3"/>
  <c r="F223" i="3"/>
  <c r="E223" i="3"/>
  <c r="H222" i="3"/>
  <c r="G222" i="3"/>
  <c r="F222" i="3"/>
  <c r="E222" i="3"/>
  <c r="H221" i="3"/>
  <c r="G221" i="3"/>
  <c r="F221" i="3"/>
  <c r="E221" i="3"/>
  <c r="H220" i="3"/>
  <c r="G220" i="3"/>
  <c r="F220" i="3"/>
  <c r="E220" i="3"/>
  <c r="H219" i="3"/>
  <c r="G219" i="3"/>
  <c r="F219" i="3"/>
  <c r="E219" i="3"/>
  <c r="H218" i="3"/>
  <c r="G218" i="3"/>
  <c r="F218" i="3"/>
  <c r="E218" i="3"/>
  <c r="H217" i="3"/>
  <c r="G217" i="3"/>
  <c r="F217" i="3"/>
  <c r="E217" i="3"/>
  <c r="H216" i="3"/>
  <c r="G216" i="3"/>
  <c r="F216" i="3"/>
  <c r="G24" i="4" s="1"/>
  <c r="L24" i="4" s="1"/>
  <c r="E216" i="3"/>
  <c r="H215" i="3"/>
  <c r="G215" i="3"/>
  <c r="F215" i="3"/>
  <c r="E215" i="3"/>
  <c r="H214" i="3"/>
  <c r="G214" i="3"/>
  <c r="F214" i="3"/>
  <c r="E214" i="3"/>
  <c r="H213" i="3"/>
  <c r="G213" i="3"/>
  <c r="F213" i="3"/>
  <c r="E213" i="3"/>
  <c r="H212" i="3"/>
  <c r="G212" i="3"/>
  <c r="F212" i="3"/>
  <c r="E212" i="3"/>
  <c r="H211" i="3"/>
  <c r="G211" i="3"/>
  <c r="F211" i="3"/>
  <c r="E211" i="3"/>
  <c r="H210" i="3"/>
  <c r="G210" i="3"/>
  <c r="F210" i="3"/>
  <c r="E210" i="3"/>
  <c r="H209" i="3"/>
  <c r="G209" i="3"/>
  <c r="F209" i="3"/>
  <c r="E209" i="3"/>
  <c r="H208" i="3"/>
  <c r="G208" i="3"/>
  <c r="F208" i="3"/>
  <c r="E208" i="3"/>
  <c r="H207" i="3"/>
  <c r="G207" i="3"/>
  <c r="F207" i="3"/>
  <c r="E207" i="3"/>
  <c r="H206" i="3"/>
  <c r="G206" i="3"/>
  <c r="F206" i="3"/>
  <c r="G23" i="4" s="1"/>
  <c r="L23" i="4" s="1"/>
  <c r="E206" i="3"/>
  <c r="H205" i="3"/>
  <c r="G205" i="3"/>
  <c r="F205" i="3"/>
  <c r="E205" i="3"/>
  <c r="H204" i="3"/>
  <c r="G204" i="3"/>
  <c r="F204" i="3"/>
  <c r="E204" i="3"/>
  <c r="H203" i="3"/>
  <c r="G203" i="3"/>
  <c r="F203" i="3"/>
  <c r="E203" i="3"/>
  <c r="H202" i="3"/>
  <c r="G202" i="3"/>
  <c r="F202" i="3"/>
  <c r="E202" i="3"/>
  <c r="H201" i="3"/>
  <c r="G201" i="3"/>
  <c r="F201" i="3"/>
  <c r="E201" i="3"/>
  <c r="H200" i="3"/>
  <c r="G200" i="3"/>
  <c r="F200" i="3"/>
  <c r="E200" i="3"/>
  <c r="H199" i="3"/>
  <c r="G199" i="3"/>
  <c r="F199" i="3"/>
  <c r="E199" i="3"/>
  <c r="H198" i="3"/>
  <c r="G198" i="3"/>
  <c r="F198" i="3"/>
  <c r="E198" i="3"/>
  <c r="H197" i="3"/>
  <c r="G197" i="3"/>
  <c r="F197" i="3"/>
  <c r="E197" i="3"/>
  <c r="H196" i="3"/>
  <c r="G196" i="3"/>
  <c r="J22" i="4" s="1"/>
  <c r="F196" i="3"/>
  <c r="G22" i="4" s="1"/>
  <c r="L22" i="4" s="1"/>
  <c r="E196" i="3"/>
  <c r="H195" i="3"/>
  <c r="G195" i="3"/>
  <c r="F195" i="3"/>
  <c r="E195" i="3"/>
  <c r="H194" i="3"/>
  <c r="G194" i="3"/>
  <c r="F194" i="3"/>
  <c r="E194" i="3"/>
  <c r="H193" i="3"/>
  <c r="G193" i="3"/>
  <c r="F193" i="3"/>
  <c r="E193" i="3"/>
  <c r="H192" i="3"/>
  <c r="G192" i="3"/>
  <c r="F192" i="3"/>
  <c r="E192" i="3"/>
  <c r="H191" i="3"/>
  <c r="G191" i="3"/>
  <c r="F191" i="3"/>
  <c r="E191" i="3"/>
  <c r="H190" i="3"/>
  <c r="G190" i="3"/>
  <c r="F190" i="3"/>
  <c r="E190" i="3"/>
  <c r="H189" i="3"/>
  <c r="G189" i="3"/>
  <c r="F189" i="3"/>
  <c r="E189" i="3"/>
  <c r="H188" i="3"/>
  <c r="G188" i="3"/>
  <c r="F188" i="3"/>
  <c r="E188" i="3"/>
  <c r="H187" i="3"/>
  <c r="G187" i="3"/>
  <c r="F187" i="3"/>
  <c r="E187" i="3"/>
  <c r="H186" i="3"/>
  <c r="G186" i="3"/>
  <c r="F186" i="3"/>
  <c r="G21" i="4" s="1"/>
  <c r="L21" i="4" s="1"/>
  <c r="E186" i="3"/>
  <c r="H185" i="3"/>
  <c r="G185" i="3"/>
  <c r="F185" i="3"/>
  <c r="E185" i="3"/>
  <c r="H184" i="3"/>
  <c r="G184" i="3"/>
  <c r="F184" i="3"/>
  <c r="E184" i="3"/>
  <c r="H183" i="3"/>
  <c r="G183" i="3"/>
  <c r="F183" i="3"/>
  <c r="E183" i="3"/>
  <c r="H182" i="3"/>
  <c r="G182" i="3"/>
  <c r="F182" i="3"/>
  <c r="E182" i="3"/>
  <c r="H181" i="3"/>
  <c r="G181" i="3"/>
  <c r="F181" i="3"/>
  <c r="E181" i="3"/>
  <c r="H180" i="3"/>
  <c r="G180" i="3"/>
  <c r="F180" i="3"/>
  <c r="E180" i="3"/>
  <c r="H179" i="3"/>
  <c r="G179" i="3"/>
  <c r="F179" i="3"/>
  <c r="E179" i="3"/>
  <c r="H178" i="3"/>
  <c r="G178" i="3"/>
  <c r="F178" i="3"/>
  <c r="E178" i="3"/>
  <c r="H177" i="3"/>
  <c r="G177" i="3"/>
  <c r="F177" i="3"/>
  <c r="E177" i="3"/>
  <c r="H176" i="3"/>
  <c r="G176" i="3"/>
  <c r="F176" i="3"/>
  <c r="G20" i="4" s="1"/>
  <c r="L20" i="4" s="1"/>
  <c r="E176" i="3"/>
  <c r="H175" i="3"/>
  <c r="G175" i="3"/>
  <c r="F175" i="3"/>
  <c r="E175" i="3"/>
  <c r="H174" i="3"/>
  <c r="G174" i="3"/>
  <c r="F174" i="3"/>
  <c r="E174" i="3"/>
  <c r="H173" i="3"/>
  <c r="G173" i="3"/>
  <c r="F173" i="3"/>
  <c r="E173" i="3"/>
  <c r="H172" i="3"/>
  <c r="G172" i="3"/>
  <c r="F172" i="3"/>
  <c r="E172" i="3"/>
  <c r="H171" i="3"/>
  <c r="G171" i="3"/>
  <c r="F171" i="3"/>
  <c r="E171" i="3"/>
  <c r="H170" i="3"/>
  <c r="G170" i="3"/>
  <c r="F170" i="3"/>
  <c r="E170" i="3"/>
  <c r="H169" i="3"/>
  <c r="G169" i="3"/>
  <c r="F169" i="3"/>
  <c r="E169" i="3"/>
  <c r="H168" i="3"/>
  <c r="G168" i="3"/>
  <c r="F168" i="3"/>
  <c r="E168" i="3"/>
  <c r="H167" i="3"/>
  <c r="G167" i="3"/>
  <c r="F167" i="3"/>
  <c r="E167" i="3"/>
  <c r="H166" i="3"/>
  <c r="G166" i="3"/>
  <c r="J19" i="4" s="1"/>
  <c r="F166" i="3"/>
  <c r="G19" i="4" s="1"/>
  <c r="L19" i="4" s="1"/>
  <c r="E166" i="3"/>
  <c r="H165" i="3"/>
  <c r="G165" i="3"/>
  <c r="F165" i="3"/>
  <c r="E165" i="3"/>
  <c r="H164" i="3"/>
  <c r="G164" i="3"/>
  <c r="F164" i="3"/>
  <c r="E164" i="3"/>
  <c r="H163" i="3"/>
  <c r="G163" i="3"/>
  <c r="F163" i="3"/>
  <c r="E163" i="3"/>
  <c r="H162" i="3"/>
  <c r="G162" i="3"/>
  <c r="F162" i="3"/>
  <c r="E162" i="3"/>
  <c r="H161" i="3"/>
  <c r="G161" i="3"/>
  <c r="F161" i="3"/>
  <c r="E161" i="3"/>
  <c r="H160" i="3"/>
  <c r="G160" i="3"/>
  <c r="F160" i="3"/>
  <c r="E160" i="3"/>
  <c r="H159" i="3"/>
  <c r="G159" i="3"/>
  <c r="F159" i="3"/>
  <c r="E159" i="3"/>
  <c r="H158" i="3"/>
  <c r="G158" i="3"/>
  <c r="F158" i="3"/>
  <c r="E158" i="3"/>
  <c r="H157" i="3"/>
  <c r="G157" i="3"/>
  <c r="J18" i="4" s="1"/>
  <c r="F157" i="3"/>
  <c r="G18" i="4" s="1"/>
  <c r="L18" i="4" s="1"/>
  <c r="E157" i="3"/>
  <c r="H156" i="3"/>
  <c r="G156" i="3"/>
  <c r="F156" i="3"/>
  <c r="E156" i="3"/>
  <c r="H155" i="3"/>
  <c r="G155" i="3"/>
  <c r="F155" i="3"/>
  <c r="E155" i="3"/>
  <c r="H154" i="3"/>
  <c r="G154" i="3"/>
  <c r="F154" i="3"/>
  <c r="E154" i="3"/>
  <c r="H153" i="3"/>
  <c r="G153" i="3"/>
  <c r="F153" i="3"/>
  <c r="E153" i="3"/>
  <c r="H152" i="3"/>
  <c r="G152" i="3"/>
  <c r="F152" i="3"/>
  <c r="E152" i="3"/>
  <c r="H151" i="3"/>
  <c r="G151" i="3"/>
  <c r="F151" i="3"/>
  <c r="E151" i="3"/>
  <c r="H150" i="3"/>
  <c r="G150" i="3"/>
  <c r="F150" i="3"/>
  <c r="E150" i="3"/>
  <c r="H149" i="3"/>
  <c r="G149" i="3"/>
  <c r="F149" i="3"/>
  <c r="E149" i="3"/>
  <c r="H148" i="3"/>
  <c r="G148" i="3"/>
  <c r="F148" i="3"/>
  <c r="E148" i="3"/>
  <c r="H147" i="3"/>
  <c r="G147" i="3"/>
  <c r="J17" i="4" s="1"/>
  <c r="F147" i="3"/>
  <c r="G17" i="4" s="1"/>
  <c r="L17" i="4" s="1"/>
  <c r="E147" i="3"/>
  <c r="H146" i="3"/>
  <c r="G146" i="3"/>
  <c r="F146" i="3"/>
  <c r="E146" i="3"/>
  <c r="H145" i="3"/>
  <c r="G145" i="3"/>
  <c r="F145" i="3"/>
  <c r="E145" i="3"/>
  <c r="H144" i="3"/>
  <c r="G144" i="3"/>
  <c r="F144" i="3"/>
  <c r="E144" i="3"/>
  <c r="H143" i="3"/>
  <c r="G143" i="3"/>
  <c r="F143" i="3"/>
  <c r="E143" i="3"/>
  <c r="H142" i="3"/>
  <c r="G142" i="3"/>
  <c r="F142" i="3"/>
  <c r="E142" i="3"/>
  <c r="H141" i="3"/>
  <c r="G141" i="3"/>
  <c r="F141" i="3"/>
  <c r="E141" i="3"/>
  <c r="H140" i="3"/>
  <c r="G140" i="3"/>
  <c r="F140" i="3"/>
  <c r="E140" i="3"/>
  <c r="H139" i="3"/>
  <c r="G139" i="3"/>
  <c r="F139" i="3"/>
  <c r="E139" i="3"/>
  <c r="H138" i="3"/>
  <c r="G138" i="3"/>
  <c r="F138" i="3"/>
  <c r="E138" i="3"/>
  <c r="H137" i="3"/>
  <c r="G137" i="3"/>
  <c r="F137" i="3"/>
  <c r="G16" i="4" s="1"/>
  <c r="L16" i="4" s="1"/>
  <c r="E137" i="3"/>
  <c r="H136" i="3"/>
  <c r="G136" i="3"/>
  <c r="F136" i="3"/>
  <c r="E136" i="3"/>
  <c r="H135" i="3"/>
  <c r="G135" i="3"/>
  <c r="F135" i="3"/>
  <c r="E135" i="3"/>
  <c r="H134" i="3"/>
  <c r="G134" i="3"/>
  <c r="F134" i="3"/>
  <c r="E134" i="3"/>
  <c r="H133" i="3"/>
  <c r="G133" i="3"/>
  <c r="F133" i="3"/>
  <c r="E133" i="3"/>
  <c r="H132" i="3"/>
  <c r="G132" i="3"/>
  <c r="F132" i="3"/>
  <c r="E132" i="3"/>
  <c r="H131" i="3"/>
  <c r="G131" i="3"/>
  <c r="F131" i="3"/>
  <c r="E131" i="3"/>
  <c r="H130" i="3"/>
  <c r="G130" i="3"/>
  <c r="F130" i="3"/>
  <c r="E130" i="3"/>
  <c r="H129" i="3"/>
  <c r="G129" i="3"/>
  <c r="F129" i="3"/>
  <c r="E129" i="3"/>
  <c r="H128" i="3"/>
  <c r="G128" i="3"/>
  <c r="F128" i="3"/>
  <c r="E128" i="3"/>
  <c r="H127" i="3"/>
  <c r="G127" i="3"/>
  <c r="J15" i="4" s="1"/>
  <c r="F127" i="3"/>
  <c r="G15" i="4" s="1"/>
  <c r="L15" i="4" s="1"/>
  <c r="E127" i="3"/>
  <c r="H126" i="3"/>
  <c r="G126" i="3"/>
  <c r="F126" i="3"/>
  <c r="E126" i="3"/>
  <c r="H125" i="3"/>
  <c r="G125" i="3"/>
  <c r="F125" i="3"/>
  <c r="E125" i="3"/>
  <c r="H124" i="3"/>
  <c r="G124" i="3"/>
  <c r="F124" i="3"/>
  <c r="E124" i="3"/>
  <c r="H123" i="3"/>
  <c r="G123" i="3"/>
  <c r="F123" i="3"/>
  <c r="E123" i="3"/>
  <c r="H122" i="3"/>
  <c r="G122" i="3"/>
  <c r="F122" i="3"/>
  <c r="E122" i="3"/>
  <c r="H121" i="3"/>
  <c r="G121" i="3"/>
  <c r="F121" i="3"/>
  <c r="E121" i="3"/>
  <c r="H120" i="3"/>
  <c r="G120" i="3"/>
  <c r="F120" i="3"/>
  <c r="E120" i="3"/>
  <c r="H119" i="3"/>
  <c r="G119" i="3"/>
  <c r="F119" i="3"/>
  <c r="E119" i="3"/>
  <c r="H118" i="3"/>
  <c r="G118" i="3"/>
  <c r="F118" i="3"/>
  <c r="E118" i="3"/>
  <c r="H117" i="3"/>
  <c r="G117" i="3"/>
  <c r="J14" i="4" s="1"/>
  <c r="F117" i="3"/>
  <c r="G14" i="4" s="1"/>
  <c r="L14" i="4" s="1"/>
  <c r="E117" i="3"/>
  <c r="H116" i="3"/>
  <c r="G116" i="3"/>
  <c r="F116" i="3"/>
  <c r="E116" i="3"/>
  <c r="H115" i="3"/>
  <c r="G115" i="3"/>
  <c r="F115" i="3"/>
  <c r="E115" i="3"/>
  <c r="H114" i="3"/>
  <c r="G114" i="3"/>
  <c r="F114" i="3"/>
  <c r="E114" i="3"/>
  <c r="H113" i="3"/>
  <c r="G113" i="3"/>
  <c r="F113" i="3"/>
  <c r="E113" i="3"/>
  <c r="H112" i="3"/>
  <c r="G112" i="3"/>
  <c r="F112" i="3"/>
  <c r="E112" i="3"/>
  <c r="H111" i="3"/>
  <c r="G111" i="3"/>
  <c r="F111" i="3"/>
  <c r="E111" i="3"/>
  <c r="H110" i="3"/>
  <c r="G110" i="3"/>
  <c r="F110" i="3"/>
  <c r="E110" i="3"/>
  <c r="H109" i="3"/>
  <c r="G109" i="3"/>
  <c r="F109" i="3"/>
  <c r="E109" i="3"/>
  <c r="H108" i="3"/>
  <c r="G108" i="3"/>
  <c r="F108" i="3"/>
  <c r="E108" i="3"/>
  <c r="H107" i="3"/>
  <c r="G107" i="3"/>
  <c r="F107" i="3"/>
  <c r="G13" i="4" s="1"/>
  <c r="L13" i="4" s="1"/>
  <c r="E107" i="3"/>
  <c r="H106" i="3"/>
  <c r="G106" i="3"/>
  <c r="F106" i="3"/>
  <c r="E106" i="3"/>
  <c r="H105" i="3"/>
  <c r="G105" i="3"/>
  <c r="F105" i="3"/>
  <c r="E105" i="3"/>
  <c r="H104" i="3"/>
  <c r="G104" i="3"/>
  <c r="F104" i="3"/>
  <c r="E104" i="3"/>
  <c r="H103" i="3"/>
  <c r="G103" i="3"/>
  <c r="F103" i="3"/>
  <c r="E103" i="3"/>
  <c r="H102" i="3"/>
  <c r="G102" i="3"/>
  <c r="F102" i="3"/>
  <c r="E102" i="3"/>
  <c r="H101" i="3"/>
  <c r="G101" i="3"/>
  <c r="F101" i="3"/>
  <c r="E101" i="3"/>
  <c r="H100" i="3"/>
  <c r="G100" i="3"/>
  <c r="F100" i="3"/>
  <c r="E100" i="3"/>
  <c r="H99" i="3"/>
  <c r="G99" i="3"/>
  <c r="F99" i="3"/>
  <c r="G12" i="4" s="1"/>
  <c r="L12" i="4" s="1"/>
  <c r="E99" i="3"/>
  <c r="H98" i="3"/>
  <c r="G98" i="3"/>
  <c r="F98" i="3"/>
  <c r="E98" i="3"/>
  <c r="H97" i="3"/>
  <c r="G97" i="3"/>
  <c r="F97" i="3"/>
  <c r="E97" i="3"/>
  <c r="H96" i="3"/>
  <c r="G96" i="3"/>
  <c r="F96" i="3"/>
  <c r="E96" i="3"/>
  <c r="H95" i="3"/>
  <c r="G95" i="3"/>
  <c r="F95" i="3"/>
  <c r="E95" i="3"/>
  <c r="H94" i="3"/>
  <c r="G94" i="3"/>
  <c r="F94" i="3"/>
  <c r="E94" i="3"/>
  <c r="H93" i="3"/>
  <c r="G93" i="3"/>
  <c r="F93" i="3"/>
  <c r="E93" i="3"/>
  <c r="H92" i="3"/>
  <c r="G92" i="3"/>
  <c r="F92" i="3"/>
  <c r="E92" i="3"/>
  <c r="H91" i="3"/>
  <c r="G91" i="3"/>
  <c r="F91" i="3"/>
  <c r="E91" i="3"/>
  <c r="H90" i="3"/>
  <c r="G90" i="3"/>
  <c r="F90" i="3"/>
  <c r="E90" i="3"/>
  <c r="H89" i="3"/>
  <c r="G89" i="3"/>
  <c r="J11" i="4" s="1"/>
  <c r="F89" i="3"/>
  <c r="G11" i="4" s="1"/>
  <c r="L11" i="4" s="1"/>
  <c r="E89" i="3"/>
  <c r="H88" i="3"/>
  <c r="G88" i="3"/>
  <c r="F88" i="3"/>
  <c r="E88" i="3"/>
  <c r="H87" i="3"/>
  <c r="G87" i="3"/>
  <c r="F87" i="3"/>
  <c r="E87" i="3"/>
  <c r="H86" i="3"/>
  <c r="G86" i="3"/>
  <c r="F86" i="3"/>
  <c r="E86" i="3"/>
  <c r="H85" i="3"/>
  <c r="G85" i="3"/>
  <c r="F85" i="3"/>
  <c r="E85" i="3"/>
  <c r="H84" i="3"/>
  <c r="G84" i="3"/>
  <c r="F84" i="3"/>
  <c r="E84" i="3"/>
  <c r="H83" i="3"/>
  <c r="G83" i="3"/>
  <c r="F83" i="3"/>
  <c r="E83" i="3"/>
  <c r="H82" i="3"/>
  <c r="G82" i="3"/>
  <c r="F82" i="3"/>
  <c r="E82" i="3"/>
  <c r="H81" i="3"/>
  <c r="G81" i="3"/>
  <c r="F81" i="3"/>
  <c r="E81" i="3"/>
  <c r="H80" i="3"/>
  <c r="G80" i="3"/>
  <c r="F80" i="3"/>
  <c r="E80" i="3"/>
  <c r="H79" i="3"/>
  <c r="G79" i="3"/>
  <c r="J10" i="4" s="1"/>
  <c r="F79" i="3"/>
  <c r="G10" i="4" s="1"/>
  <c r="L10" i="4" s="1"/>
  <c r="E79" i="3"/>
  <c r="H78" i="3"/>
  <c r="G78" i="3"/>
  <c r="F78" i="3"/>
  <c r="E78" i="3"/>
  <c r="H77" i="3"/>
  <c r="G77" i="3"/>
  <c r="F77" i="3"/>
  <c r="E77" i="3"/>
  <c r="H76" i="3"/>
  <c r="G76" i="3"/>
  <c r="F76" i="3"/>
  <c r="E76" i="3"/>
  <c r="H75" i="3"/>
  <c r="G75" i="3"/>
  <c r="F75" i="3"/>
  <c r="E75" i="3"/>
  <c r="H74" i="3"/>
  <c r="G74" i="3"/>
  <c r="F74" i="3"/>
  <c r="E74" i="3"/>
  <c r="H73" i="3"/>
  <c r="G73" i="3"/>
  <c r="F73" i="3"/>
  <c r="E73" i="3"/>
  <c r="H72" i="3"/>
  <c r="G72" i="3"/>
  <c r="F72" i="3"/>
  <c r="E72" i="3"/>
  <c r="H71" i="3"/>
  <c r="G71" i="3"/>
  <c r="F71" i="3"/>
  <c r="E71" i="3"/>
  <c r="H70" i="3"/>
  <c r="G70" i="3"/>
  <c r="J9" i="4" s="1"/>
  <c r="F70" i="3"/>
  <c r="G9" i="4" s="1"/>
  <c r="L9" i="4" s="1"/>
  <c r="E70" i="3"/>
  <c r="H69" i="3"/>
  <c r="G69" i="3"/>
  <c r="F69" i="3"/>
  <c r="E69" i="3"/>
  <c r="H68" i="3"/>
  <c r="G68" i="3"/>
  <c r="F68" i="3"/>
  <c r="E68" i="3"/>
  <c r="H67" i="3"/>
  <c r="G67" i="3"/>
  <c r="F67" i="3"/>
  <c r="E67" i="3"/>
  <c r="H66" i="3"/>
  <c r="G66" i="3"/>
  <c r="F66" i="3"/>
  <c r="E66" i="3"/>
  <c r="H65" i="3"/>
  <c r="G65" i="3"/>
  <c r="F65" i="3"/>
  <c r="E65" i="3"/>
  <c r="H64" i="3"/>
  <c r="G64" i="3"/>
  <c r="F64" i="3"/>
  <c r="E64" i="3"/>
  <c r="H63" i="3"/>
  <c r="G63" i="3"/>
  <c r="F63" i="3"/>
  <c r="E63" i="3"/>
  <c r="H62" i="3"/>
  <c r="G62" i="3"/>
  <c r="F62" i="3"/>
  <c r="E62" i="3"/>
  <c r="H61" i="3"/>
  <c r="G61" i="3"/>
  <c r="H8" i="4" s="1"/>
  <c r="J8" i="4" s="1"/>
  <c r="F61" i="3"/>
  <c r="G8" i="4" s="1"/>
  <c r="L8" i="4" s="1"/>
  <c r="E61" i="3"/>
  <c r="H60" i="3"/>
  <c r="G60" i="3"/>
  <c r="F60" i="3"/>
  <c r="E60" i="3"/>
  <c r="H59" i="3"/>
  <c r="G59" i="3"/>
  <c r="F59" i="3"/>
  <c r="E59" i="3"/>
  <c r="H58" i="3"/>
  <c r="G58" i="3"/>
  <c r="F58" i="3"/>
  <c r="E58" i="3"/>
  <c r="H57" i="3"/>
  <c r="G57" i="3"/>
  <c r="F57" i="3"/>
  <c r="E57" i="3"/>
  <c r="H56" i="3"/>
  <c r="G56" i="3"/>
  <c r="F56" i="3"/>
  <c r="E56" i="3"/>
  <c r="H55" i="3"/>
  <c r="G55" i="3"/>
  <c r="F55" i="3"/>
  <c r="E55" i="3"/>
  <c r="H54" i="3"/>
  <c r="G54" i="3"/>
  <c r="F54" i="3"/>
  <c r="E54" i="3"/>
  <c r="H53" i="3"/>
  <c r="G53" i="3"/>
  <c r="F53" i="3"/>
  <c r="E53" i="3"/>
  <c r="H52" i="3"/>
  <c r="G52" i="3"/>
  <c r="F52" i="3"/>
  <c r="E52" i="3"/>
  <c r="H51" i="3"/>
  <c r="G51" i="3"/>
  <c r="H7" i="4" s="1"/>
  <c r="J7" i="4" s="1"/>
  <c r="F51" i="3"/>
  <c r="G7" i="4" s="1"/>
  <c r="L7" i="4" s="1"/>
  <c r="E51" i="3"/>
  <c r="H50" i="3"/>
  <c r="G50" i="3"/>
  <c r="F50" i="3"/>
  <c r="E50" i="3"/>
  <c r="H49" i="3"/>
  <c r="G49" i="3"/>
  <c r="F49" i="3"/>
  <c r="E49" i="3"/>
  <c r="H48" i="3"/>
  <c r="G48" i="3"/>
  <c r="F48" i="3"/>
  <c r="E48" i="3"/>
  <c r="H47" i="3"/>
  <c r="G47" i="3"/>
  <c r="F47" i="3"/>
  <c r="E47" i="3"/>
  <c r="H46" i="3"/>
  <c r="G46" i="3"/>
  <c r="F46" i="3"/>
  <c r="E46" i="3"/>
  <c r="H45" i="3"/>
  <c r="G45" i="3"/>
  <c r="F45" i="3"/>
  <c r="E45" i="3"/>
  <c r="H44" i="3"/>
  <c r="G44" i="3"/>
  <c r="F44" i="3"/>
  <c r="E44" i="3"/>
  <c r="H43" i="3"/>
  <c r="G43" i="3"/>
  <c r="F43" i="3"/>
  <c r="E43" i="3"/>
  <c r="H42" i="3"/>
  <c r="G42" i="3"/>
  <c r="F42" i="3"/>
  <c r="E42" i="3"/>
  <c r="H41" i="3"/>
  <c r="G41" i="3"/>
  <c r="H6" i="4" s="1"/>
  <c r="J6" i="4" s="1"/>
  <c r="F41" i="3"/>
  <c r="G6" i="4" s="1"/>
  <c r="L6" i="4" s="1"/>
  <c r="E41" i="3"/>
  <c r="H40" i="3"/>
  <c r="G40" i="3"/>
  <c r="F40" i="3"/>
  <c r="E40" i="3"/>
  <c r="H39" i="3"/>
  <c r="G39" i="3"/>
  <c r="F39" i="3"/>
  <c r="E39" i="3"/>
  <c r="H38" i="3"/>
  <c r="G38" i="3"/>
  <c r="F38" i="3"/>
  <c r="E38" i="3"/>
  <c r="H37" i="3"/>
  <c r="G37" i="3"/>
  <c r="F37" i="3"/>
  <c r="E37" i="3"/>
  <c r="H36" i="3"/>
  <c r="G36" i="3"/>
  <c r="F36" i="3"/>
  <c r="E36" i="3"/>
  <c r="H35" i="3"/>
  <c r="G35" i="3"/>
  <c r="F35" i="3"/>
  <c r="E35" i="3"/>
  <c r="H34" i="3"/>
  <c r="G34" i="3"/>
  <c r="F34" i="3"/>
  <c r="E34" i="3"/>
  <c r="H33" i="3"/>
  <c r="G33" i="3"/>
  <c r="F33" i="3"/>
  <c r="E33" i="3"/>
  <c r="H32" i="3"/>
  <c r="G32" i="3"/>
  <c r="F32" i="3"/>
  <c r="E32" i="3"/>
  <c r="H31" i="3"/>
  <c r="G31" i="3"/>
  <c r="F31" i="3"/>
  <c r="G5" i="4" s="1"/>
  <c r="L5" i="4" s="1"/>
  <c r="E31" i="3"/>
  <c r="H30" i="3"/>
  <c r="G30" i="3"/>
  <c r="F30" i="3"/>
  <c r="E30" i="3"/>
  <c r="H29" i="3"/>
  <c r="G29" i="3"/>
  <c r="F29" i="3"/>
  <c r="E29" i="3"/>
  <c r="H28" i="3"/>
  <c r="G28" i="3"/>
  <c r="F28" i="3"/>
  <c r="E28" i="3"/>
  <c r="H27" i="3"/>
  <c r="G27" i="3"/>
  <c r="F27" i="3"/>
  <c r="E27" i="3"/>
  <c r="H26" i="3"/>
  <c r="G26" i="3"/>
  <c r="F26" i="3"/>
  <c r="E26" i="3"/>
  <c r="H25" i="3"/>
  <c r="G25" i="3"/>
  <c r="F25" i="3"/>
  <c r="E25" i="3"/>
  <c r="H24" i="3"/>
  <c r="G24" i="3"/>
  <c r="F24" i="3"/>
  <c r="E24" i="3"/>
  <c r="H23" i="3"/>
  <c r="G23" i="3"/>
  <c r="F23" i="3"/>
  <c r="E23" i="3"/>
  <c r="H22" i="3"/>
  <c r="G22" i="3"/>
  <c r="H4" i="4" s="1"/>
  <c r="J4" i="4" s="1"/>
  <c r="F22" i="3"/>
  <c r="G4" i="4" s="1"/>
  <c r="L4" i="4" s="1"/>
  <c r="E22" i="3"/>
  <c r="H21" i="3"/>
  <c r="G21" i="3"/>
  <c r="F21" i="3"/>
  <c r="E21" i="3"/>
  <c r="H20" i="3"/>
  <c r="G20" i="3"/>
  <c r="F20" i="3"/>
  <c r="E20" i="3"/>
  <c r="H19" i="3"/>
  <c r="G19" i="3"/>
  <c r="F19" i="3"/>
  <c r="E19" i="3"/>
  <c r="H18" i="3"/>
  <c r="G18" i="3"/>
  <c r="F18" i="3"/>
  <c r="E18" i="3"/>
  <c r="H17" i="3"/>
  <c r="G17" i="3"/>
  <c r="F17" i="3"/>
  <c r="E17" i="3"/>
  <c r="H16" i="3"/>
  <c r="G16" i="3"/>
  <c r="F16" i="3"/>
  <c r="E16" i="3"/>
  <c r="H15" i="3"/>
  <c r="G15" i="3"/>
  <c r="F15" i="3"/>
  <c r="E15" i="3"/>
  <c r="H14" i="3"/>
  <c r="G14" i="3"/>
  <c r="F14" i="3"/>
  <c r="E14" i="3"/>
  <c r="H13" i="3"/>
  <c r="G13" i="3"/>
  <c r="F13" i="3"/>
  <c r="E13" i="3"/>
  <c r="H12" i="3"/>
  <c r="G12" i="3"/>
  <c r="H3" i="4" s="1"/>
  <c r="J3" i="4" s="1"/>
  <c r="F12" i="3"/>
  <c r="G3" i="4" s="1"/>
  <c r="L3" i="4" s="1"/>
  <c r="E12" i="3"/>
  <c r="H11" i="3"/>
  <c r="G11" i="3"/>
  <c r="F11" i="3"/>
  <c r="E11" i="3"/>
  <c r="H10" i="3"/>
  <c r="G10" i="3"/>
  <c r="F10" i="3"/>
  <c r="E10" i="3"/>
  <c r="H9" i="3"/>
  <c r="G9" i="3"/>
  <c r="F9" i="3"/>
  <c r="E9" i="3"/>
  <c r="H8" i="3"/>
  <c r="G8" i="3"/>
  <c r="F8" i="3"/>
  <c r="E8" i="3"/>
  <c r="H7" i="3"/>
  <c r="G7" i="3"/>
  <c r="F7" i="3"/>
  <c r="E7" i="3"/>
  <c r="H6" i="3"/>
  <c r="G6" i="3"/>
  <c r="F6" i="3"/>
  <c r="E6" i="3"/>
  <c r="H5" i="3"/>
  <c r="G5" i="3"/>
  <c r="F5" i="3"/>
  <c r="E5" i="3"/>
  <c r="H4" i="3"/>
  <c r="G4" i="3"/>
  <c r="F4" i="3"/>
  <c r="E4" i="3"/>
  <c r="H3" i="3"/>
  <c r="G3" i="3"/>
  <c r="F3" i="3"/>
  <c r="E3" i="3"/>
  <c r="H2" i="3"/>
  <c r="G2" i="3"/>
  <c r="F2" i="3"/>
  <c r="G2" i="4" s="1"/>
  <c r="E2" i="3"/>
  <c r="J16" i="4" l="1"/>
  <c r="J23" i="4"/>
  <c r="B12" i="5" s="1"/>
  <c r="J24" i="4"/>
  <c r="J27" i="4"/>
  <c r="N27" i="4" s="1"/>
  <c r="J31" i="4"/>
  <c r="J32" i="4"/>
  <c r="J33" i="4"/>
  <c r="N33" i="4" s="1"/>
  <c r="J35" i="4"/>
  <c r="N35" i="4" s="1"/>
  <c r="J36" i="4"/>
  <c r="M3" i="4"/>
  <c r="M12" i="4"/>
  <c r="M16" i="4"/>
  <c r="N16" i="4" s="1"/>
  <c r="M18" i="4"/>
  <c r="M28" i="4"/>
  <c r="M32" i="4"/>
  <c r="M34" i="4"/>
  <c r="N34" i="4" s="1"/>
  <c r="M4" i="4"/>
  <c r="N4" i="4" s="1"/>
  <c r="M6" i="4"/>
  <c r="N6" i="4" s="1"/>
  <c r="M22" i="4"/>
  <c r="N9" i="4"/>
  <c r="M8" i="4"/>
  <c r="M10" i="4"/>
  <c r="M20" i="4"/>
  <c r="M24" i="4"/>
  <c r="M26" i="4"/>
  <c r="N18" i="4"/>
  <c r="N26" i="4"/>
  <c r="N8" i="4"/>
  <c r="B11" i="5"/>
  <c r="B6" i="5"/>
  <c r="B13" i="5"/>
  <c r="M15" i="4"/>
  <c r="N15" i="4" s="1"/>
  <c r="M23" i="4"/>
  <c r="M31" i="4"/>
  <c r="N31" i="4" s="1"/>
  <c r="J12" i="4"/>
  <c r="J20" i="4"/>
  <c r="N20" i="4" s="1"/>
  <c r="J28" i="4"/>
  <c r="I2" i="4"/>
  <c r="L2" i="4" s="1"/>
  <c r="N28" i="4"/>
  <c r="K11" i="4"/>
  <c r="M11" i="4" s="1"/>
  <c r="N11" i="4"/>
  <c r="N14" i="4"/>
  <c r="K19" i="4"/>
  <c r="M19" i="4" s="1"/>
  <c r="N19" i="4" s="1"/>
  <c r="K27" i="4"/>
  <c r="M27" i="4" s="1"/>
  <c r="N30" i="4"/>
  <c r="K35" i="4"/>
  <c r="M35" i="4" s="1"/>
  <c r="K36" i="4"/>
  <c r="M36" i="4" s="1"/>
  <c r="J2" i="4"/>
  <c r="M7" i="4"/>
  <c r="N7" i="4" s="1"/>
  <c r="N10" i="4"/>
  <c r="N22" i="4"/>
  <c r="M9" i="4"/>
  <c r="M17" i="4"/>
  <c r="N17" i="4" s="1"/>
  <c r="M25" i="4"/>
  <c r="N25" i="4" s="1"/>
  <c r="M33" i="4"/>
  <c r="K2" i="4"/>
  <c r="N3" i="4"/>
  <c r="K5" i="4"/>
  <c r="M5" i="4" s="1"/>
  <c r="N5" i="4"/>
  <c r="K13" i="4"/>
  <c r="M13" i="4" s="1"/>
  <c r="N13" i="4" s="1"/>
  <c r="K21" i="4"/>
  <c r="M21" i="4" s="1"/>
  <c r="N21" i="4"/>
  <c r="N24" i="4"/>
  <c r="K29" i="4"/>
  <c r="M29" i="4" s="1"/>
  <c r="N29" i="4" s="1"/>
  <c r="N32" i="4"/>
  <c r="N36" i="4"/>
  <c r="N23" i="4" l="1"/>
  <c r="B10" i="5"/>
  <c r="B8" i="5"/>
  <c r="B9" i="5"/>
  <c r="B7" i="5"/>
  <c r="B14" i="5"/>
  <c r="N12" i="4"/>
  <c r="M2" i="4"/>
  <c r="N2" i="4"/>
</calcChain>
</file>

<file path=xl/sharedStrings.xml><?xml version="1.0" encoding="utf-8"?>
<sst xmlns="http://schemas.openxmlformats.org/spreadsheetml/2006/main" count="633" uniqueCount="146">
  <si>
    <t>Employee ID</t>
  </si>
  <si>
    <t>Employee Name</t>
  </si>
  <si>
    <t>Department</t>
  </si>
  <si>
    <t>Job Title</t>
  </si>
  <si>
    <t>Hire Date</t>
  </si>
  <si>
    <t>Basic Salary</t>
  </si>
  <si>
    <t>Status</t>
  </si>
  <si>
    <t>EMP001</t>
  </si>
  <si>
    <t>Sara Fahmy</t>
  </si>
  <si>
    <t>Warehouse</t>
  </si>
  <si>
    <t>Storekeeper</t>
  </si>
  <si>
    <t>Active</t>
  </si>
  <si>
    <t>EMP002</t>
  </si>
  <si>
    <t>Aya Abdel Rahman</t>
  </si>
  <si>
    <t>HR</t>
  </si>
  <si>
    <t>HR Specialist</t>
  </si>
  <si>
    <t>EMP003</t>
  </si>
  <si>
    <t>Mahmoud Shalaby</t>
  </si>
  <si>
    <t>Production</t>
  </si>
  <si>
    <t>Line Leader</t>
  </si>
  <si>
    <t>EMP004</t>
  </si>
  <si>
    <t>Ali Shalaby</t>
  </si>
  <si>
    <t>Finance</t>
  </si>
  <si>
    <t>Accountant</t>
  </si>
  <si>
    <t>EMP005</t>
  </si>
  <si>
    <t>Salma Fahmy</t>
  </si>
  <si>
    <t>Quality Control</t>
  </si>
  <si>
    <t>Quality Engineer</t>
  </si>
  <si>
    <t>EMP006</t>
  </si>
  <si>
    <t>Hassan Ibrahim</t>
  </si>
  <si>
    <t>EMP007</t>
  </si>
  <si>
    <t>Sherif Hassan</t>
  </si>
  <si>
    <t>EMP008</t>
  </si>
  <si>
    <t>Heba Abdallah</t>
  </si>
  <si>
    <t>Warehouse Supervisor</t>
  </si>
  <si>
    <t>EMP009</t>
  </si>
  <si>
    <t>Sherif Shalaby</t>
  </si>
  <si>
    <t>EMP010</t>
  </si>
  <si>
    <t>Walid El-Naggar</t>
  </si>
  <si>
    <t>Quality Inspector</t>
  </si>
  <si>
    <t>EMP011</t>
  </si>
  <si>
    <t>Hany Abdallah</t>
  </si>
  <si>
    <t>Maintenance</t>
  </si>
  <si>
    <t>Electrical Technician</t>
  </si>
  <si>
    <t>EMP012</t>
  </si>
  <si>
    <t>EMP013</t>
  </si>
  <si>
    <t>Mahmoud Hassan</t>
  </si>
  <si>
    <t>EMP014</t>
  </si>
  <si>
    <t>Hassan El-Naggar</t>
  </si>
  <si>
    <t>EMP015</t>
  </si>
  <si>
    <t>Youssef Mahmoud</t>
  </si>
  <si>
    <t>EMP016</t>
  </si>
  <si>
    <t>Nour Zaki</t>
  </si>
  <si>
    <t>EMP017</t>
  </si>
  <si>
    <t>Tarek Fahmy</t>
  </si>
  <si>
    <t>EMP018</t>
  </si>
  <si>
    <t>Karim Fahmy</t>
  </si>
  <si>
    <t>Production Operator</t>
  </si>
  <si>
    <t>EMP019</t>
  </si>
  <si>
    <t>Ahmed Sabry</t>
  </si>
  <si>
    <t>EMP020</t>
  </si>
  <si>
    <t>Heba Farouk</t>
  </si>
  <si>
    <t>Personnel Officer</t>
  </si>
  <si>
    <t>EMP021</t>
  </si>
  <si>
    <t>Marwa Abdel Rahman</t>
  </si>
  <si>
    <t>EMP022</t>
  </si>
  <si>
    <t>Dina Zaki</t>
  </si>
  <si>
    <t>EMP023</t>
  </si>
  <si>
    <t>Ali Abdallah</t>
  </si>
  <si>
    <t>EMP024</t>
  </si>
  <si>
    <t>Salma Mahmoud</t>
  </si>
  <si>
    <t>EMP025</t>
  </si>
  <si>
    <t>Omar El-Din</t>
  </si>
  <si>
    <t>EMP026</t>
  </si>
  <si>
    <t>Yara Sabry</t>
  </si>
  <si>
    <t>EMP027</t>
  </si>
  <si>
    <t>Walid El-Din</t>
  </si>
  <si>
    <t>EMP028</t>
  </si>
  <si>
    <t>Mona Fahmy</t>
  </si>
  <si>
    <t>EMP029</t>
  </si>
  <si>
    <t>Mahmoud El-Din</t>
  </si>
  <si>
    <t>EMP030</t>
  </si>
  <si>
    <t>Salma Abdallah</t>
  </si>
  <si>
    <t>EMP031</t>
  </si>
  <si>
    <t>Walid Shalaby</t>
  </si>
  <si>
    <t>EMP032</t>
  </si>
  <si>
    <t>Fady El-Din</t>
  </si>
  <si>
    <t>EMP033</t>
  </si>
  <si>
    <t>Yara Farouk</t>
  </si>
  <si>
    <t>EMP034</t>
  </si>
  <si>
    <t>Khaled Abdallah</t>
  </si>
  <si>
    <t>EMP035</t>
  </si>
  <si>
    <t>Fady Hassan</t>
  </si>
  <si>
    <t>Date</t>
  </si>
  <si>
    <t>Check In</t>
  </si>
  <si>
    <t>Check Out</t>
  </si>
  <si>
    <t>Working Hours</t>
  </si>
  <si>
    <t>Late Minutes</t>
  </si>
  <si>
    <t>Overtime Hours</t>
  </si>
  <si>
    <t>Attendance Status</t>
  </si>
  <si>
    <t>Present Days</t>
  </si>
  <si>
    <t>Absent Days</t>
  </si>
  <si>
    <t>Total Late Minutes</t>
  </si>
  <si>
    <t>Total Overtime Hours</t>
  </si>
  <si>
    <t>Daily Rate</t>
  </si>
  <si>
    <t>Overtime Pay</t>
  </si>
  <si>
    <t>Absence Deduction</t>
  </si>
  <si>
    <t>Late Deduction</t>
  </si>
  <si>
    <t>Total Deductions</t>
  </si>
  <si>
    <t>Net Salary</t>
  </si>
  <si>
    <t>Assumptions: reporting period = 10 working days (1-10 Jul 2026) | daily rate based on a 26-day working month | grace period 8:15 AM | overtime starts after 5:00 PM | overtime multiplier x1.5</t>
  </si>
  <si>
    <t>HR Salary &amp; Attendance Report — Dynamic</t>
  </si>
  <si>
    <t>Select Department:</t>
  </si>
  <si>
    <t>Metric</t>
  </si>
  <si>
    <t>Value</t>
  </si>
  <si>
    <t>Headcount in Department</t>
  </si>
  <si>
    <t>Total Net Salary</t>
  </si>
  <si>
    <t>Average Net Salary</t>
  </si>
  <si>
    <t>Maximum Net Salary</t>
  </si>
  <si>
    <t>Minimum Net Salary</t>
  </si>
  <si>
    <t>Total Overtime Pay</t>
  </si>
  <si>
    <t>Total Absent Days</t>
  </si>
  <si>
    <t>Change the Department cell above (yellow) — every value recalculates automatically.</t>
  </si>
  <si>
    <t>KPI</t>
  </si>
  <si>
    <t>Total Active Employees</t>
  </si>
  <si>
    <t>Total Net Salary Paid</t>
  </si>
  <si>
    <t>Total Overtime Cost</t>
  </si>
  <si>
    <t>Headcount</t>
  </si>
  <si>
    <t>Row Labels</t>
  </si>
  <si>
    <t>Grand Total</t>
  </si>
  <si>
    <t>Count of Employee ID</t>
  </si>
  <si>
    <t>Project Overview: HR Payroll &amp; Attendance Analytics</t>
  </si>
  <si>
    <t>1. Project Objective</t>
  </si>
  <si>
    <t>Developed an integrated HR Operations Analytics Dashboard to monitor workforce</t>
  </si>
  <si>
    <t>demographics, optimize payroll distributions, track employee attendance, and control overtime</t>
  </si>
  <si>
    <t>expenditures across departments.</t>
  </si>
  <si>
    <t>2. Key Insights &amp; Metrics</t>
  </si>
  <si>
    <t>Workforce Distribution: Active workforce of 35 employees distributed across 6 main departments, with Production and Warehouse representing the highest headcount share.</t>
  </si>
  <si>
    <t>Payroll &amp; Overtime Control: Total net payroll expenditure reached $219,558.07, supported by 80.78 overtime hours ($3,627.64 total overtime cost).</t>
  </si>
  <si>
    <t>Attendance Impact: Logged 13 total absent days across the reporting period, maintaining an overall high workforce presence rate.</t>
  </si>
  <si>
    <t>3. Strategic Recommendations</t>
  </si>
  <si>
    <t>Overtime Allocation: Review Quality Control and Production overtime hours to ensure optimal shift allocation and prevent unnecessary wage inflation.</t>
  </si>
  <si>
    <t>Absence Tracking: Implement targeted HR check-ins for departments showing recurring absent trends to mitigate productivity loss.</t>
  </si>
  <si>
    <t>4. Technical Stack</t>
  </si>
  <si>
    <r>
      <t>Tool:</t>
    </r>
    <r>
      <rPr>
        <sz val="11"/>
        <color theme="1"/>
        <rFont val="Calibri"/>
        <family val="2"/>
        <charset val="1"/>
      </rPr>
      <t xml:space="preserve"> Microsoft Excel</t>
    </r>
  </si>
  <si>
    <t>Features Used: Data Cleaning (TRIM, Data Validation), Advanced Formulas (XLOOKUP, SUMIFS, COUNTIFS), Data Modeling, Dynamic KPIs, and Data Visualization.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</si>
</sst>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* #,##0.00\ &quot;ج.م.‏&quot;_-;\-* #,##0.00\ &quot;ج.م.‏&quot;_-;_-* &quot;-&quot;??\ &quot;ج.م.‏&quot;_-;_-@_-"/>
    <numFmt numFmtId="43" formatCode="_-* #,##0.00_-;\-* #,##0.00_-;_-* &quot;-&quot;??_-;_-@_-"/>
    <numFmt numFmtId="164" formatCode="yyyy\-mm\-dd"/>
  </numFmts>
  <fonts count="12" x14ac:knownFonts="1">
    <font>
      <sz val="11"/>
      <color theme="1"/>
      <name val="Calibri"/>
      <family val="2"/>
      <charset val="1"/>
    </font>
    <font>
      <b/>
      <sz val="14"/>
      <color rgb="FF1F4E78"/>
      <name val="Arial"/>
      <charset val="1"/>
    </font>
    <font>
      <sz val="11"/>
      <name val="Arial"/>
      <charset val="1"/>
    </font>
    <font>
      <b/>
      <sz val="11"/>
      <name val="Arial"/>
      <charset val="1"/>
    </font>
    <font>
      <b/>
      <sz val="11"/>
      <color rgb="FFFFFFFF"/>
      <name val="Arial"/>
      <charset val="1"/>
    </font>
    <font>
      <i/>
      <sz val="9"/>
      <color rgb="FF666666"/>
      <name val="Arial"/>
      <charset val="1"/>
    </font>
    <font>
      <sz val="20"/>
      <color theme="1"/>
      <name val="Calibri"/>
      <family val="2"/>
      <charset val="178"/>
    </font>
    <font>
      <b/>
      <sz val="26"/>
      <color rgb="FF1F4E78"/>
      <name val="Arial"/>
      <family val="2"/>
      <charset val="178"/>
    </font>
    <font>
      <sz val="11"/>
      <name val="Arial"/>
      <family val="2"/>
    </font>
    <font>
      <sz val="11"/>
      <color theme="1"/>
      <name val="Calibri"/>
      <family val="2"/>
      <charset val="1"/>
    </font>
    <font>
      <b/>
      <sz val="14"/>
      <color rgb="FF1F4E78"/>
      <name val="Arial"/>
      <family val="2"/>
    </font>
    <font>
      <b/>
      <sz val="1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F00"/>
        <bgColor rgb="FFFFFF00"/>
      </patternFill>
    </fill>
    <fill>
      <patternFill patternType="solid">
        <fgColor theme="0" tint="-0.14999847407452621"/>
        <bgColor indexed="64"/>
      </patternFill>
    </fill>
  </fills>
  <borders count="11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 style="thin">
        <color rgb="FFABABAB"/>
      </right>
      <top style="thin">
        <color indexed="65"/>
      </top>
      <bottom style="thin">
        <color rgb="FFABABAB"/>
      </bottom>
      <diagonal/>
    </border>
  </borders>
  <cellStyleXfs count="3">
    <xf numFmtId="0" fontId="0" fillId="0" borderId="0"/>
    <xf numFmtId="43" fontId="9" fillId="0" borderId="0" applyFont="0" applyFill="0" applyBorder="0" applyAlignment="0" applyProtection="0"/>
    <xf numFmtId="44" fontId="9" fillId="0" borderId="0" applyFont="0" applyFill="0" applyBorder="0" applyAlignment="0" applyProtection="0"/>
  </cellStyleXfs>
  <cellXfs count="39"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2" fillId="0" borderId="1" xfId="0" applyFont="1" applyBorder="1"/>
    <xf numFmtId="164" fontId="2" fillId="0" borderId="1" xfId="0" applyNumberFormat="1" applyFont="1" applyBorder="1"/>
    <xf numFmtId="4" fontId="2" fillId="0" borderId="1" xfId="0" applyNumberFormat="1" applyFont="1" applyBorder="1"/>
    <xf numFmtId="20" fontId="2" fillId="0" borderId="1" xfId="0" applyNumberFormat="1" applyFont="1" applyBorder="1"/>
    <xf numFmtId="2" fontId="2" fillId="0" borderId="1" xfId="0" applyNumberFormat="1" applyFont="1" applyBorder="1"/>
    <xf numFmtId="0" fontId="4" fillId="2" borderId="1" xfId="0" applyFont="1" applyFill="1" applyBorder="1"/>
    <xf numFmtId="0" fontId="8" fillId="0" borderId="1" xfId="0" applyFont="1" applyBorder="1"/>
    <xf numFmtId="49" fontId="4" fillId="2" borderId="1" xfId="0" applyNumberFormat="1" applyFont="1" applyFill="1" applyBorder="1" applyAlignment="1">
      <alignment horizontal="center" vertical="center" wrapText="1"/>
    </xf>
    <xf numFmtId="49" fontId="2" fillId="0" borderId="1" xfId="0" applyNumberFormat="1" applyFont="1" applyBorder="1"/>
    <xf numFmtId="49" fontId="0" fillId="0" borderId="0" xfId="0" applyNumberFormat="1"/>
    <xf numFmtId="0" fontId="1" fillId="0" borderId="0" xfId="0" applyFont="1"/>
    <xf numFmtId="0" fontId="5" fillId="0" borderId="0" xfId="0" applyFont="1"/>
    <xf numFmtId="0" fontId="7" fillId="4" borderId="0" xfId="0" applyFont="1" applyFill="1"/>
    <xf numFmtId="0" fontId="6" fillId="4" borderId="0" xfId="0" applyFont="1" applyFill="1"/>
    <xf numFmtId="0" fontId="1" fillId="4" borderId="0" xfId="0" applyFont="1" applyFill="1"/>
    <xf numFmtId="0" fontId="0" fillId="4" borderId="0" xfId="0" applyFill="1"/>
    <xf numFmtId="2" fontId="2" fillId="3" borderId="1" xfId="0" applyNumberFormat="1" applyFont="1" applyFill="1" applyBorder="1"/>
    <xf numFmtId="2" fontId="4" fillId="2" borderId="1" xfId="0" applyNumberFormat="1" applyFont="1" applyFill="1" applyBorder="1"/>
    <xf numFmtId="2" fontId="0" fillId="0" borderId="0" xfId="0" applyNumberFormat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1" fontId="2" fillId="0" borderId="1" xfId="0" applyNumberFormat="1" applyFont="1" applyBorder="1"/>
    <xf numFmtId="43" fontId="0" fillId="4" borderId="0" xfId="1" applyFont="1" applyFill="1"/>
    <xf numFmtId="44" fontId="0" fillId="0" borderId="0" xfId="2" applyFont="1"/>
    <xf numFmtId="44" fontId="2" fillId="0" borderId="1" xfId="2" applyFont="1" applyBorder="1"/>
    <xf numFmtId="0" fontId="10" fillId="0" borderId="0" xfId="0" applyFont="1"/>
    <xf numFmtId="0" fontId="11" fillId="0" borderId="0" xfId="0" applyFont="1"/>
    <xf numFmtId="0" fontId="8" fillId="0" borderId="0" xfId="0" applyFont="1"/>
  </cellXfs>
  <cellStyles count="3">
    <cellStyle name="Comma" xfId="1" builtinId="3"/>
    <cellStyle name="Currency" xfId="2" builtinId="4"/>
    <cellStyle name="Normal" xfId="0" builtinId="0"/>
  </cellStyles>
  <dxfs count="11">
    <dxf>
      <font>
        <b/>
        <color rgb="FFFFFFFF"/>
        <name val="Arial"/>
      </font>
      <numFmt numFmtId="2" formatCode="0.00"/>
      <fill>
        <patternFill patternType="solid">
          <fgColor rgb="FF003366"/>
          <bgColor rgb="FF1F4E78"/>
        </patternFill>
      </fill>
      <alignment horizontal="general" vertical="bottom" textRotation="0" wrapText="0" indent="0" justifyLastLine="0" shrinkToFit="0" readingOrder="0"/>
    </dxf>
    <dxf>
      <font>
        <b/>
        <color rgb="FFFFFFFF"/>
        <name val="Arial"/>
      </font>
      <numFmt numFmtId="2" formatCode="0.00"/>
      <fill>
        <patternFill patternType="solid">
          <fgColor rgb="FF003366"/>
          <bgColor rgb="FF1F4E78"/>
        </patternFill>
      </fill>
      <alignment horizontal="general" vertical="bottom" textRotation="0" wrapText="0" indent="0" justifyLastLine="0" shrinkToFit="0" readingOrder="0"/>
    </dxf>
    <dxf>
      <font>
        <color auto="1"/>
        <name val="Arial"/>
      </font>
      <alignment horizontal="general" vertical="bottom" textRotation="0" wrapText="0" indent="0" justifyLastLine="0" shrinkToFit="0" readingOrder="0"/>
    </dxf>
    <dxf>
      <font>
        <color auto="1"/>
        <name val="Arial"/>
      </font>
      <alignment horizontal="general" vertical="bottom" textRotation="0" wrapText="0" indent="0" justifyLastLine="0" shrinkToFit="0" readingOrder="0"/>
    </dxf>
    <dxf>
      <font>
        <b/>
        <color rgb="FFFFFFFF"/>
        <name val="Arial"/>
      </font>
      <fill>
        <patternFill patternType="solid">
          <fgColor rgb="FF003366"/>
          <bgColor rgb="FF1F4E78"/>
        </patternFill>
      </fill>
    </dxf>
    <dxf>
      <font>
        <b/>
        <color rgb="FFFFFFFF"/>
        <name val="Arial"/>
      </font>
      <fill>
        <patternFill patternType="solid">
          <fgColor rgb="FF003366"/>
          <bgColor rgb="FF1F4E78"/>
        </patternFill>
      </fill>
    </dxf>
    <dxf>
      <font>
        <b/>
        <color rgb="FFFFFFFF"/>
        <name val="Arial"/>
      </font>
      <fill>
        <patternFill patternType="solid">
          <fgColor rgb="FF003366"/>
          <bgColor rgb="FF1F4E78"/>
        </patternFill>
      </fill>
    </dxf>
    <dxf>
      <border outline="0">
        <left style="thin">
          <color rgb="FFB7B7B7"/>
        </left>
      </border>
    </dxf>
    <dxf>
      <numFmt numFmtId="2" formatCode="0.00"/>
    </dxf>
    <dxf>
      <border outline="0">
        <right style="thin">
          <color rgb="FFB7B7B7"/>
        </right>
      </border>
    </dxf>
    <dxf>
      <numFmt numFmtId="30" formatCode="@"/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78787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'HR Report'!$B$30</c:f>
              <c:strCache>
                <c:ptCount val="1"/>
                <c:pt idx="0">
                  <c:v>Total Net Salary</c:v>
                </c:pt>
              </c:strCache>
            </c:strRef>
          </c:tx>
          <c:spPr>
            <a:gradFill>
              <a:gsLst>
                <a:gs pos="0">
                  <a:schemeClr val="accent1"/>
                </a:gs>
                <a:gs pos="100000">
                  <a:schemeClr val="accent1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'HR Report'!$A$31:$A$36</c:f>
              <c:strCache>
                <c:ptCount val="6"/>
                <c:pt idx="0">
                  <c:v>Finance</c:v>
                </c:pt>
                <c:pt idx="1">
                  <c:v>HR</c:v>
                </c:pt>
                <c:pt idx="2">
                  <c:v>Maintenance</c:v>
                </c:pt>
                <c:pt idx="3">
                  <c:v>Production</c:v>
                </c:pt>
                <c:pt idx="4">
                  <c:v>Quality Control</c:v>
                </c:pt>
                <c:pt idx="5">
                  <c:v>Warehouse</c:v>
                </c:pt>
              </c:strCache>
            </c:strRef>
          </c:cat>
          <c:val>
            <c:numRef>
              <c:f>'HR Report'!$B$31:$B$36</c:f>
              <c:numCache>
                <c:formatCode>0.00</c:formatCode>
                <c:ptCount val="6"/>
                <c:pt idx="0">
                  <c:v>30262.010000000002</c:v>
                </c:pt>
                <c:pt idx="1">
                  <c:v>41908.44</c:v>
                </c:pt>
                <c:pt idx="2">
                  <c:v>15846.64</c:v>
                </c:pt>
                <c:pt idx="3">
                  <c:v>28400.04</c:v>
                </c:pt>
                <c:pt idx="4">
                  <c:v>55834.29</c:v>
                </c:pt>
                <c:pt idx="5">
                  <c:v>47306.65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EE-4E72-BAF4-5F23ABE4F3E4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0"/>
          <c:showBubbleSize val="0"/>
        </c:dLbls>
        <c:gapWidth val="41"/>
        <c:axId val="60181565"/>
        <c:axId val="97870780"/>
      </c:barChart>
      <c:catAx>
        <c:axId val="6018156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870780"/>
        <c:crosses val="autoZero"/>
        <c:auto val="1"/>
        <c:lblAlgn val="ctr"/>
        <c:lblOffset val="100"/>
        <c:noMultiLvlLbl val="0"/>
      </c:catAx>
      <c:valAx>
        <c:axId val="97870780"/>
        <c:scaling>
          <c:orientation val="minMax"/>
        </c:scaling>
        <c:delete val="1"/>
        <c:axPos val="l"/>
        <c:numFmt formatCode="0.00" sourceLinked="1"/>
        <c:majorTickMark val="none"/>
        <c:minorTickMark val="none"/>
        <c:tickLblPos val="nextTo"/>
        <c:crossAx val="6018156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1"/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>
      <a:outerShdw blurRad="50800" dist="38100" dir="5400000" algn="t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[HR_Operations_Analytics_Portfolio.xlsx]HR Report!PivotTable1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Headcount by Department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>
            <a:gsLst>
              <a:gs pos="0">
                <a:schemeClr val="accent1">
                  <a:shade val="51000"/>
                </a:schemeClr>
              </a:gs>
              <a:gs pos="80000">
                <a:schemeClr val="accent1">
                  <a:shade val="93000"/>
                </a:schemeClr>
              </a:gs>
              <a:gs pos="100000">
                <a:schemeClr val="accent1">
                  <a:shade val="94000"/>
                </a:schemeClr>
              </a:gs>
            </a:gsLst>
            <a:lin ang="16200000" scaled="0"/>
            <a:tileRect/>
          </a:gradFill>
          <a:ln>
            <a:noFill/>
          </a:ln>
          <a:effectLst/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'HR Report'!$B$40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>
                <a:gsLst>
                  <a:gs pos="0">
                    <a:schemeClr val="accent1">
                      <a:shade val="51000"/>
                    </a:schemeClr>
                  </a:gs>
                  <a:gs pos="80000">
                    <a:schemeClr val="accent1">
                      <a:shade val="93000"/>
                    </a:schemeClr>
                  </a:gs>
                  <a:gs pos="100000">
                    <a:schemeClr val="accent1">
                      <a:shade val="94000"/>
                    </a:schemeClr>
                  </a:gs>
                </a:gsLst>
                <a:lin ang="16200000" scaled="0"/>
                <a:tileRect/>
              </a:gradFill>
              <a:ln>
                <a:noFill/>
              </a:ln>
              <a:effectLst/>
            </c:spPr>
          </c:dPt>
          <c:dPt>
            <c:idx val="1"/>
            <c:bubble3D val="0"/>
            <c:spPr>
              <a:gradFill>
                <a:gsLst>
                  <a:gs pos="0">
                    <a:schemeClr val="accent2">
                      <a:shade val="51000"/>
                    </a:schemeClr>
                  </a:gs>
                  <a:gs pos="80000">
                    <a:schemeClr val="accent2">
                      <a:shade val="93000"/>
                    </a:schemeClr>
                  </a:gs>
                  <a:gs pos="100000">
                    <a:schemeClr val="accent2">
                      <a:shade val="94000"/>
                    </a:schemeClr>
                  </a:gs>
                </a:gsLst>
                <a:lin ang="16200000" scaled="0"/>
                <a:tileRect/>
              </a:gradFill>
              <a:ln>
                <a:noFill/>
              </a:ln>
              <a:effectLst/>
            </c:spPr>
          </c:dPt>
          <c:dPt>
            <c:idx val="2"/>
            <c:bubble3D val="0"/>
            <c:spPr>
              <a:gradFill>
                <a:gsLst>
                  <a:gs pos="0">
                    <a:schemeClr val="accent3">
                      <a:shade val="51000"/>
                    </a:schemeClr>
                  </a:gs>
                  <a:gs pos="80000">
                    <a:schemeClr val="accent3">
                      <a:shade val="93000"/>
                    </a:schemeClr>
                  </a:gs>
                  <a:gs pos="100000">
                    <a:schemeClr val="accent3">
                      <a:shade val="94000"/>
                    </a:schemeClr>
                  </a:gs>
                </a:gsLst>
                <a:lin ang="16200000" scaled="0"/>
                <a:tileRect/>
              </a:gradFill>
              <a:ln>
                <a:noFill/>
              </a:ln>
              <a:effectLst/>
            </c:spPr>
          </c:dPt>
          <c:dPt>
            <c:idx val="3"/>
            <c:bubble3D val="0"/>
            <c:spPr>
              <a:gradFill>
                <a:gsLst>
                  <a:gs pos="0">
                    <a:schemeClr val="accent4">
                      <a:shade val="51000"/>
                    </a:schemeClr>
                  </a:gs>
                  <a:gs pos="80000">
                    <a:schemeClr val="accent4">
                      <a:shade val="93000"/>
                    </a:schemeClr>
                  </a:gs>
                  <a:gs pos="100000">
                    <a:schemeClr val="accent4">
                      <a:shade val="94000"/>
                    </a:schemeClr>
                  </a:gs>
                </a:gsLst>
                <a:lin ang="16200000" scaled="0"/>
                <a:tileRect/>
              </a:gradFill>
              <a:ln>
                <a:noFill/>
              </a:ln>
              <a:effectLst/>
            </c:spPr>
          </c:dPt>
          <c:dPt>
            <c:idx val="4"/>
            <c:bubble3D val="0"/>
            <c:spPr>
              <a:gradFill>
                <a:gsLst>
                  <a:gs pos="0">
                    <a:schemeClr val="accent5">
                      <a:shade val="51000"/>
                    </a:schemeClr>
                  </a:gs>
                  <a:gs pos="80000">
                    <a:schemeClr val="accent5">
                      <a:shade val="93000"/>
                    </a:schemeClr>
                  </a:gs>
                  <a:gs pos="100000">
                    <a:schemeClr val="accent5">
                      <a:shade val="94000"/>
                    </a:schemeClr>
                  </a:gs>
                </a:gsLst>
                <a:lin ang="16200000" scaled="0"/>
                <a:tileRect/>
              </a:gradFill>
              <a:ln>
                <a:noFill/>
              </a:ln>
              <a:effectLst/>
            </c:spPr>
          </c:dPt>
          <c:dPt>
            <c:idx val="5"/>
            <c:bubble3D val="0"/>
            <c:spPr>
              <a:gradFill>
                <a:gsLst>
                  <a:gs pos="0">
                    <a:schemeClr val="accent6">
                      <a:shade val="51000"/>
                    </a:schemeClr>
                  </a:gs>
                  <a:gs pos="80000">
                    <a:schemeClr val="accent6">
                      <a:shade val="93000"/>
                    </a:schemeClr>
                  </a:gs>
                  <a:gs pos="100000">
                    <a:schemeClr val="accent6">
                      <a:shade val="94000"/>
                    </a:schemeClr>
                  </a:gs>
                </a:gsLst>
                <a:lin ang="16200000" scaled="0"/>
                <a:tileRect/>
              </a:gradFill>
              <a:ln>
                <a:noFill/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tx2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'HR Report'!$A$41:$A$47</c:f>
              <c:strCache>
                <c:ptCount val="6"/>
                <c:pt idx="0">
                  <c:v>Finance</c:v>
                </c:pt>
                <c:pt idx="1">
                  <c:v>HR</c:v>
                </c:pt>
                <c:pt idx="2">
                  <c:v>Maintenance</c:v>
                </c:pt>
                <c:pt idx="3">
                  <c:v>Production</c:v>
                </c:pt>
                <c:pt idx="4">
                  <c:v>Quality Control</c:v>
                </c:pt>
                <c:pt idx="5">
                  <c:v>Warehouse</c:v>
                </c:pt>
              </c:strCache>
            </c:strRef>
          </c:cat>
          <c:val>
            <c:numRef>
              <c:f>'HR Report'!$B$41:$B$47</c:f>
              <c:numCache>
                <c:formatCode>0.00</c:formatCode>
                <c:ptCount val="6"/>
                <c:pt idx="0">
                  <c:v>4</c:v>
                </c:pt>
                <c:pt idx="1">
                  <c:v>6</c:v>
                </c:pt>
                <c:pt idx="2">
                  <c:v>3</c:v>
                </c:pt>
                <c:pt idx="3">
                  <c:v>5</c:v>
                </c:pt>
                <c:pt idx="4">
                  <c:v>8</c:v>
                </c:pt>
                <c:pt idx="5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C8-4143-AB7F-363FD4E985FF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5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450946</xdr:colOff>
      <xdr:row>5</xdr:row>
      <xdr:rowOff>23146</xdr:rowOff>
    </xdr:from>
    <xdr:to>
      <xdr:col>1</xdr:col>
      <xdr:colOff>1187132</xdr:colOff>
      <xdr:row>9</xdr:row>
      <xdr:rowOff>42069</xdr:rowOff>
    </xdr:to>
    <xdr:grpSp>
      <xdr:nvGrpSpPr>
        <xdr:cNvPr id="24" name="Group 23">
          <a:extLst>
            <a:ext uri="{FF2B5EF4-FFF2-40B4-BE49-F238E27FC236}">
              <a16:creationId xmlns:a16="http://schemas.microsoft.com/office/drawing/2014/main" id="{0FA9AA2E-466D-9F66-2353-20126731A26F}"/>
            </a:ext>
          </a:extLst>
        </xdr:cNvPr>
        <xdr:cNvGrpSpPr/>
      </xdr:nvGrpSpPr>
      <xdr:grpSpPr>
        <a:xfrm>
          <a:off x="450946" y="1281051"/>
          <a:ext cx="2514186" cy="889780"/>
          <a:chOff x="6334034" y="1163808"/>
          <a:chExt cx="2517921" cy="915393"/>
        </a:xfrm>
      </xdr:grpSpPr>
      <xdr:sp macro="" textlink="">
        <xdr:nvSpPr>
          <xdr:cNvPr id="17" name="Rectangle: Rounded Corners 16">
            <a:extLst>
              <a:ext uri="{FF2B5EF4-FFF2-40B4-BE49-F238E27FC236}">
                <a16:creationId xmlns:a16="http://schemas.microsoft.com/office/drawing/2014/main" id="{3117D3A7-C20D-4A99-AC46-7990C479C8D6}"/>
              </a:ext>
            </a:extLst>
          </xdr:cNvPr>
          <xdr:cNvSpPr/>
        </xdr:nvSpPr>
        <xdr:spPr>
          <a:xfrm>
            <a:off x="6334034" y="1163808"/>
            <a:ext cx="2517921" cy="915393"/>
          </a:xfrm>
          <a:prstGeom prst="roundRect">
            <a:avLst/>
          </a:prstGeom>
          <a:solidFill>
            <a:schemeClr val="bg1"/>
          </a:solidFill>
          <a:effectLst>
            <a:outerShdw blurRad="50800" dist="38100" dir="5400000" algn="t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en-US" sz="1400" b="1">
                <a:solidFill>
                  <a:schemeClr val="tx1"/>
                </a:solidFill>
                <a:latin typeface="Aharoni" panose="02010803020104030203" pitchFamily="2" charset="-79"/>
                <a:cs typeface="Aharoni" panose="02010803020104030203" pitchFamily="2" charset="-79"/>
              </a:rPr>
              <a:t>Total Active Employees</a:t>
            </a:r>
          </a:p>
        </xdr:txBody>
      </xdr:sp>
      <xdr:sp macro="" textlink="'HR Report'!B20">
        <xdr:nvSpPr>
          <xdr:cNvPr id="18" name="TextBox 17">
            <a:extLst>
              <a:ext uri="{FF2B5EF4-FFF2-40B4-BE49-F238E27FC236}">
                <a16:creationId xmlns:a16="http://schemas.microsoft.com/office/drawing/2014/main" id="{FBF01ED5-5421-4986-96B9-B88DC2A0BA02}"/>
              </a:ext>
            </a:extLst>
          </xdr:cNvPr>
          <xdr:cNvSpPr txBox="1"/>
        </xdr:nvSpPr>
        <xdr:spPr>
          <a:xfrm>
            <a:off x="7062803" y="1477028"/>
            <a:ext cx="1084148" cy="53725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fld id="{29D73CE0-F5D1-4A23-9012-43C67B5E003F}" type="TxLink">
              <a:rPr lang="en-US" sz="4400" b="1" i="0" u="none" strike="noStrike">
                <a:solidFill>
                  <a:srgbClr val="000000"/>
                </a:solidFill>
                <a:latin typeface="Aharoni" panose="02010803020104030203" pitchFamily="2" charset="-79"/>
                <a:cs typeface="Aharoni" panose="02010803020104030203" pitchFamily="2" charset="-79"/>
              </a:rPr>
              <a:pPr algn="ctr"/>
              <a:t>35</a:t>
            </a:fld>
            <a:endParaRPr lang="en-US" sz="4400" b="1">
              <a:latin typeface="Aharoni" panose="02010803020104030203" pitchFamily="2" charset="-79"/>
              <a:cs typeface="Aharoni" panose="02010803020104030203" pitchFamily="2" charset="-79"/>
            </a:endParaRPr>
          </a:p>
        </xdr:txBody>
      </xdr:sp>
    </xdr:grpSp>
    <xdr:clientData/>
  </xdr:twoCellAnchor>
  <xdr:twoCellAnchor>
    <xdr:from>
      <xdr:col>2</xdr:col>
      <xdr:colOff>422500</xdr:colOff>
      <xdr:row>5</xdr:row>
      <xdr:rowOff>23146</xdr:rowOff>
    </xdr:from>
    <xdr:to>
      <xdr:col>6</xdr:col>
      <xdr:colOff>565390</xdr:colOff>
      <xdr:row>9</xdr:row>
      <xdr:rowOff>42069</xdr:rowOff>
    </xdr:to>
    <xdr:grpSp>
      <xdr:nvGrpSpPr>
        <xdr:cNvPr id="11" name="Group 10">
          <a:extLst>
            <a:ext uri="{FF2B5EF4-FFF2-40B4-BE49-F238E27FC236}">
              <a16:creationId xmlns:a16="http://schemas.microsoft.com/office/drawing/2014/main" id="{B6DB87D8-06B7-F6F2-E044-7D9C693A337B}"/>
            </a:ext>
          </a:extLst>
        </xdr:cNvPr>
        <xdr:cNvGrpSpPr/>
      </xdr:nvGrpSpPr>
      <xdr:grpSpPr>
        <a:xfrm>
          <a:off x="3434214" y="1281051"/>
          <a:ext cx="2513557" cy="889780"/>
          <a:chOff x="3543893" y="1276851"/>
          <a:chExt cx="2521000" cy="889780"/>
        </a:xfrm>
      </xdr:grpSpPr>
      <xdr:sp macro="" textlink="">
        <xdr:nvSpPr>
          <xdr:cNvPr id="26" name="Rectangle: Rounded Corners 25">
            <a:extLst>
              <a:ext uri="{FF2B5EF4-FFF2-40B4-BE49-F238E27FC236}">
                <a16:creationId xmlns:a16="http://schemas.microsoft.com/office/drawing/2014/main" id="{BC30B129-0E53-8623-DCD4-D2D179C827AA}"/>
              </a:ext>
            </a:extLst>
          </xdr:cNvPr>
          <xdr:cNvSpPr/>
        </xdr:nvSpPr>
        <xdr:spPr>
          <a:xfrm>
            <a:off x="3543893" y="1276851"/>
            <a:ext cx="2521000" cy="889780"/>
          </a:xfrm>
          <a:prstGeom prst="roundRect">
            <a:avLst/>
          </a:prstGeom>
          <a:solidFill>
            <a:schemeClr val="bg1"/>
          </a:solidFill>
          <a:effectLst>
            <a:outerShdw blurRad="50800" dist="38100" dir="5400000" algn="t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en-US" sz="1400" b="1">
                <a:solidFill>
                  <a:schemeClr val="tx1"/>
                </a:solidFill>
                <a:latin typeface="Aharoni" panose="02010803020104030203" pitchFamily="2" charset="-79"/>
                <a:cs typeface="Aharoni" panose="02010803020104030203" pitchFamily="2" charset="-79"/>
              </a:rPr>
              <a:t>Total Net Salary Paid</a:t>
            </a:r>
          </a:p>
        </xdr:txBody>
      </xdr:sp>
      <xdr:sp macro="" textlink="'HR Report'!B21">
        <xdr:nvSpPr>
          <xdr:cNvPr id="27" name="TextBox 26">
            <a:extLst>
              <a:ext uri="{FF2B5EF4-FFF2-40B4-BE49-F238E27FC236}">
                <a16:creationId xmlns:a16="http://schemas.microsoft.com/office/drawing/2014/main" id="{3CB69ED1-9A9A-4191-80F2-B544609B0881}"/>
              </a:ext>
            </a:extLst>
          </xdr:cNvPr>
          <xdr:cNvSpPr txBox="1"/>
        </xdr:nvSpPr>
        <xdr:spPr>
          <a:xfrm>
            <a:off x="3597212" y="1572463"/>
            <a:ext cx="2367833" cy="52444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marL="0" indent="0" algn="ctr"/>
            <a:fld id="{2C44D981-62D0-4201-9E84-2E59D94377F7}" type="TxLink">
              <a:rPr lang="en-US" sz="4000" b="1" i="0" u="none" strike="noStrike">
                <a:solidFill>
                  <a:srgbClr val="000000"/>
                </a:solidFill>
                <a:latin typeface="Aharoni" panose="02010803020104030203" pitchFamily="2" charset="-79"/>
                <a:ea typeface="+mn-ea"/>
                <a:cs typeface="Aharoni" panose="02010803020104030203" pitchFamily="2" charset="-79"/>
              </a:rPr>
              <a:pPr marL="0" indent="0" algn="ctr"/>
              <a:t> 219,558.07 ج.م.‏ </a:t>
            </a:fld>
            <a:endParaRPr lang="en-US" sz="4000" b="1" i="0" u="none" strike="noStrike">
              <a:solidFill>
                <a:srgbClr val="000000"/>
              </a:solidFill>
              <a:latin typeface="Aharoni" panose="02010803020104030203" pitchFamily="2" charset="-79"/>
              <a:ea typeface="+mn-ea"/>
              <a:cs typeface="Aharoni" panose="02010803020104030203" pitchFamily="2" charset="-79"/>
            </a:endParaRPr>
          </a:p>
        </xdr:txBody>
      </xdr:sp>
    </xdr:grpSp>
    <xdr:clientData/>
  </xdr:twoCellAnchor>
  <xdr:twoCellAnchor>
    <xdr:from>
      <xdr:col>7</xdr:col>
      <xdr:colOff>437154</xdr:colOff>
      <xdr:row>5</xdr:row>
      <xdr:rowOff>23146</xdr:rowOff>
    </xdr:from>
    <xdr:to>
      <xdr:col>11</xdr:col>
      <xdr:colOff>580044</xdr:colOff>
      <xdr:row>9</xdr:row>
      <xdr:rowOff>42069</xdr:rowOff>
    </xdr:to>
    <xdr:sp macro="" textlink="">
      <xdr:nvSpPr>
        <xdr:cNvPr id="28" name="Rectangle: Rounded Corners 27">
          <a:extLst>
            <a:ext uri="{FF2B5EF4-FFF2-40B4-BE49-F238E27FC236}">
              <a16:creationId xmlns:a16="http://schemas.microsoft.com/office/drawing/2014/main" id="{5557CA3E-20A0-43DD-9AD1-6D1271BEDF67}"/>
            </a:ext>
          </a:extLst>
        </xdr:cNvPr>
        <xdr:cNvSpPr/>
      </xdr:nvSpPr>
      <xdr:spPr>
        <a:xfrm>
          <a:off x="6406154" y="1307257"/>
          <a:ext cx="2513557" cy="922034"/>
        </a:xfrm>
        <a:prstGeom prst="roundRect">
          <a:avLst/>
        </a:prstGeom>
        <a:solidFill>
          <a:schemeClr val="bg1"/>
        </a:solidFill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solidFill>
                <a:schemeClr val="tx1"/>
              </a:solidFill>
              <a:latin typeface="Aharoni" panose="02010803020104030203" pitchFamily="2" charset="-79"/>
              <a:cs typeface="Aharoni" panose="02010803020104030203" pitchFamily="2" charset="-79"/>
            </a:rPr>
            <a:t>Total Overtime Hours</a:t>
          </a:r>
        </a:p>
      </xdr:txBody>
    </xdr:sp>
    <xdr:clientData/>
  </xdr:twoCellAnchor>
  <xdr:twoCellAnchor>
    <xdr:from>
      <xdr:col>7</xdr:col>
      <xdr:colOff>490316</xdr:colOff>
      <xdr:row>6</xdr:row>
      <xdr:rowOff>103696</xdr:rowOff>
    </xdr:from>
    <xdr:to>
      <xdr:col>11</xdr:col>
      <xdr:colOff>480491</xdr:colOff>
      <xdr:row>8</xdr:row>
      <xdr:rowOff>195600</xdr:rowOff>
    </xdr:to>
    <xdr:sp macro="" textlink="'HR Report'!B22">
      <xdr:nvSpPr>
        <xdr:cNvPr id="29" name="TextBox 28">
          <a:extLst>
            <a:ext uri="{FF2B5EF4-FFF2-40B4-BE49-F238E27FC236}">
              <a16:creationId xmlns:a16="http://schemas.microsoft.com/office/drawing/2014/main" id="{786A0D7F-B0EC-4405-8EC6-6D57F4901E13}"/>
            </a:ext>
          </a:extLst>
        </xdr:cNvPr>
        <xdr:cNvSpPr txBox="1"/>
      </xdr:nvSpPr>
      <xdr:spPr>
        <a:xfrm>
          <a:off x="6459316" y="1613585"/>
          <a:ext cx="2360842" cy="54345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ctr"/>
          <a:fld id="{759E81EF-B51E-4CF2-A12A-76F611818865}" type="TxLink">
            <a:rPr lang="en-US" sz="4000" b="1" i="0" u="none" strike="noStrike">
              <a:solidFill>
                <a:srgbClr val="000000"/>
              </a:solidFill>
              <a:latin typeface="Aharoni" panose="02010803020104030203" pitchFamily="2" charset="-79"/>
              <a:ea typeface="+mn-ea"/>
              <a:cs typeface="Aharoni" panose="02010803020104030203" pitchFamily="2" charset="-79"/>
            </a:rPr>
            <a:pPr marL="0" indent="0" algn="ctr"/>
            <a:t>80.78</a:t>
          </a:fld>
          <a:endParaRPr lang="en-US" sz="4000" b="1" i="0" u="none" strike="noStrike">
            <a:solidFill>
              <a:srgbClr val="000000"/>
            </a:solidFill>
            <a:latin typeface="Aharoni" panose="02010803020104030203" pitchFamily="2" charset="-79"/>
            <a:ea typeface="+mn-ea"/>
            <a:cs typeface="Aharoni" panose="02010803020104030203" pitchFamily="2" charset="-79"/>
          </a:endParaRPr>
        </a:p>
      </xdr:txBody>
    </xdr:sp>
    <xdr:clientData/>
  </xdr:twoCellAnchor>
  <xdr:twoCellAnchor>
    <xdr:from>
      <xdr:col>0</xdr:col>
      <xdr:colOff>447202</xdr:colOff>
      <xdr:row>11</xdr:row>
      <xdr:rowOff>11252</xdr:rowOff>
    </xdr:from>
    <xdr:to>
      <xdr:col>1</xdr:col>
      <xdr:colOff>1184620</xdr:colOff>
      <xdr:row>15</xdr:row>
      <xdr:rowOff>63670</xdr:rowOff>
    </xdr:to>
    <xdr:grpSp>
      <xdr:nvGrpSpPr>
        <xdr:cNvPr id="14" name="Group 13">
          <a:extLst>
            <a:ext uri="{FF2B5EF4-FFF2-40B4-BE49-F238E27FC236}">
              <a16:creationId xmlns:a16="http://schemas.microsoft.com/office/drawing/2014/main" id="{D5A70479-2815-2828-7FE3-BEAC6C640865}"/>
            </a:ext>
          </a:extLst>
        </xdr:cNvPr>
        <xdr:cNvGrpSpPr/>
      </xdr:nvGrpSpPr>
      <xdr:grpSpPr>
        <a:xfrm>
          <a:off x="447202" y="2575442"/>
          <a:ext cx="2515418" cy="886990"/>
          <a:chOff x="438829" y="2547623"/>
          <a:chExt cx="2521000" cy="889780"/>
        </a:xfrm>
      </xdr:grpSpPr>
      <xdr:sp macro="" textlink="">
        <xdr:nvSpPr>
          <xdr:cNvPr id="2" name="Rectangle: Rounded Corners 1">
            <a:extLst>
              <a:ext uri="{FF2B5EF4-FFF2-40B4-BE49-F238E27FC236}">
                <a16:creationId xmlns:a16="http://schemas.microsoft.com/office/drawing/2014/main" id="{68EA662D-EE84-4EB1-807D-BF67675974BA}"/>
              </a:ext>
            </a:extLst>
          </xdr:cNvPr>
          <xdr:cNvSpPr/>
        </xdr:nvSpPr>
        <xdr:spPr>
          <a:xfrm>
            <a:off x="438829" y="2547623"/>
            <a:ext cx="2521000" cy="889780"/>
          </a:xfrm>
          <a:prstGeom prst="roundRect">
            <a:avLst/>
          </a:prstGeom>
          <a:solidFill>
            <a:schemeClr val="bg1"/>
          </a:solidFill>
          <a:effectLst>
            <a:outerShdw blurRad="50800" dist="38100" dir="5400000" algn="t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en-US" sz="1400" b="1">
                <a:solidFill>
                  <a:schemeClr val="tx1"/>
                </a:solidFill>
                <a:latin typeface="Aharoni" panose="02010803020104030203" pitchFamily="2" charset="-79"/>
                <a:cs typeface="Aharoni" panose="02010803020104030203" pitchFamily="2" charset="-79"/>
              </a:rPr>
              <a:t>Total Overtime Cost</a:t>
            </a:r>
          </a:p>
        </xdr:txBody>
      </xdr:sp>
      <xdr:sp macro="" textlink="'HR Report'!B23">
        <xdr:nvSpPr>
          <xdr:cNvPr id="3" name="TextBox 2">
            <a:extLst>
              <a:ext uri="{FF2B5EF4-FFF2-40B4-BE49-F238E27FC236}">
                <a16:creationId xmlns:a16="http://schemas.microsoft.com/office/drawing/2014/main" id="{6496A86B-FA59-4575-AFA0-96A289B8291D}"/>
              </a:ext>
            </a:extLst>
          </xdr:cNvPr>
          <xdr:cNvSpPr txBox="1"/>
        </xdr:nvSpPr>
        <xdr:spPr>
          <a:xfrm>
            <a:off x="492148" y="2843235"/>
            <a:ext cx="2367833" cy="52444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marL="0" indent="0" algn="ctr"/>
            <a:fld id="{0F92FD63-8F84-49FC-B9C6-15CE4A98D780}" type="TxLink">
              <a:rPr lang="en-US" sz="4000" b="1" i="0" u="none" strike="noStrike">
                <a:solidFill>
                  <a:srgbClr val="000000"/>
                </a:solidFill>
                <a:latin typeface="Aharoni" panose="02010803020104030203" pitchFamily="2" charset="-79"/>
                <a:ea typeface="+mn-ea"/>
                <a:cs typeface="Aharoni" panose="02010803020104030203" pitchFamily="2" charset="-79"/>
              </a:rPr>
              <a:pPr marL="0" indent="0" algn="ctr"/>
              <a:t>3627.64</a:t>
            </a:fld>
            <a:endParaRPr lang="en-US" sz="4000" b="1" i="0" u="none" strike="noStrike">
              <a:solidFill>
                <a:srgbClr val="000000"/>
              </a:solidFill>
              <a:latin typeface="Aharoni" panose="02010803020104030203" pitchFamily="2" charset="-79"/>
              <a:ea typeface="+mn-ea"/>
              <a:cs typeface="Aharoni" panose="02010803020104030203" pitchFamily="2" charset="-79"/>
            </a:endParaRPr>
          </a:p>
        </xdr:txBody>
      </xdr:sp>
    </xdr:grpSp>
    <xdr:clientData/>
  </xdr:twoCellAnchor>
  <xdr:twoCellAnchor>
    <xdr:from>
      <xdr:col>2</xdr:col>
      <xdr:colOff>435480</xdr:colOff>
      <xdr:row>11</xdr:row>
      <xdr:rowOff>11252</xdr:rowOff>
    </xdr:from>
    <xdr:to>
      <xdr:col>6</xdr:col>
      <xdr:colOff>578370</xdr:colOff>
      <xdr:row>15</xdr:row>
      <xdr:rowOff>63670</xdr:rowOff>
    </xdr:to>
    <xdr:grpSp>
      <xdr:nvGrpSpPr>
        <xdr:cNvPr id="13" name="Group 12">
          <a:extLst>
            <a:ext uri="{FF2B5EF4-FFF2-40B4-BE49-F238E27FC236}">
              <a16:creationId xmlns:a16="http://schemas.microsoft.com/office/drawing/2014/main" id="{EE967CC2-34B0-C5E1-E242-4FA75882A312}"/>
            </a:ext>
          </a:extLst>
        </xdr:cNvPr>
        <xdr:cNvGrpSpPr/>
      </xdr:nvGrpSpPr>
      <xdr:grpSpPr>
        <a:xfrm>
          <a:off x="3447194" y="2575442"/>
          <a:ext cx="2513557" cy="886990"/>
          <a:chOff x="3572241" y="2616288"/>
          <a:chExt cx="2521000" cy="889780"/>
        </a:xfrm>
      </xdr:grpSpPr>
      <xdr:sp macro="" textlink="">
        <xdr:nvSpPr>
          <xdr:cNvPr id="4" name="Rectangle: Rounded Corners 3">
            <a:extLst>
              <a:ext uri="{FF2B5EF4-FFF2-40B4-BE49-F238E27FC236}">
                <a16:creationId xmlns:a16="http://schemas.microsoft.com/office/drawing/2014/main" id="{404D93F3-ED11-4BB0-87CE-D16C376381A9}"/>
              </a:ext>
            </a:extLst>
          </xdr:cNvPr>
          <xdr:cNvSpPr/>
        </xdr:nvSpPr>
        <xdr:spPr>
          <a:xfrm>
            <a:off x="3572241" y="2616288"/>
            <a:ext cx="2521000" cy="889780"/>
          </a:xfrm>
          <a:prstGeom prst="roundRect">
            <a:avLst/>
          </a:prstGeom>
          <a:solidFill>
            <a:schemeClr val="bg1"/>
          </a:solidFill>
          <a:effectLst>
            <a:outerShdw blurRad="50800" dist="38100" dir="5400000" algn="t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en-US" sz="1400" b="1">
                <a:solidFill>
                  <a:schemeClr val="tx1"/>
                </a:solidFill>
                <a:latin typeface="Aharoni" panose="02010803020104030203" pitchFamily="2" charset="-79"/>
                <a:cs typeface="Aharoni" panose="02010803020104030203" pitchFamily="2" charset="-79"/>
              </a:rPr>
              <a:t>Total Absent Days</a:t>
            </a:r>
            <a:endParaRPr lang="ar-EG" sz="1400" b="1">
              <a:solidFill>
                <a:schemeClr val="tx1"/>
              </a:solidFill>
              <a:latin typeface="Aharoni" panose="02010803020104030203" pitchFamily="2" charset="-79"/>
              <a:cs typeface="Aharoni" panose="02010803020104030203" pitchFamily="2" charset="-79"/>
            </a:endParaRPr>
          </a:p>
        </xdr:txBody>
      </xdr:sp>
      <xdr:sp macro="" textlink="'HR Report'!B24">
        <xdr:nvSpPr>
          <xdr:cNvPr id="5" name="TextBox 4">
            <a:extLst>
              <a:ext uri="{FF2B5EF4-FFF2-40B4-BE49-F238E27FC236}">
                <a16:creationId xmlns:a16="http://schemas.microsoft.com/office/drawing/2014/main" id="{0B6A629E-BBF3-444A-9523-71B53570E57A}"/>
              </a:ext>
            </a:extLst>
          </xdr:cNvPr>
          <xdr:cNvSpPr txBox="1"/>
        </xdr:nvSpPr>
        <xdr:spPr>
          <a:xfrm>
            <a:off x="3625560" y="2911900"/>
            <a:ext cx="2367833" cy="52444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marL="0" indent="0" algn="ctr"/>
            <a:fld id="{A6A6D081-C4BB-4DA9-801D-13A52C679144}" type="TxLink">
              <a:rPr lang="en-US" sz="4000" b="1" i="0" u="none" strike="noStrike">
                <a:solidFill>
                  <a:srgbClr val="000000"/>
                </a:solidFill>
                <a:latin typeface="Aharoni" panose="02010803020104030203" pitchFamily="2" charset="-79"/>
                <a:ea typeface="+mn-ea"/>
                <a:cs typeface="Aharoni" panose="02010803020104030203" pitchFamily="2" charset="-79"/>
              </a:rPr>
              <a:pPr marL="0" indent="0" algn="ctr"/>
              <a:t>13</a:t>
            </a:fld>
            <a:endParaRPr lang="en-US" sz="4000" b="1" i="0" u="none" strike="noStrike">
              <a:solidFill>
                <a:srgbClr val="000000"/>
              </a:solidFill>
              <a:latin typeface="Aharoni" panose="02010803020104030203" pitchFamily="2" charset="-79"/>
              <a:ea typeface="+mn-ea"/>
              <a:cs typeface="Aharoni" panose="02010803020104030203" pitchFamily="2" charset="-79"/>
            </a:endParaRPr>
          </a:p>
        </xdr:txBody>
      </xdr:sp>
    </xdr:grpSp>
    <xdr:clientData/>
  </xdr:twoCellAnchor>
  <xdr:twoCellAnchor>
    <xdr:from>
      <xdr:col>7</xdr:col>
      <xdr:colOff>465626</xdr:colOff>
      <xdr:row>11</xdr:row>
      <xdr:rowOff>11252</xdr:rowOff>
    </xdr:from>
    <xdr:to>
      <xdr:col>12</xdr:col>
      <xdr:colOff>13989</xdr:colOff>
      <xdr:row>15</xdr:row>
      <xdr:rowOff>63670</xdr:rowOff>
    </xdr:to>
    <xdr:grpSp>
      <xdr:nvGrpSpPr>
        <xdr:cNvPr id="12" name="Group 11">
          <a:extLst>
            <a:ext uri="{FF2B5EF4-FFF2-40B4-BE49-F238E27FC236}">
              <a16:creationId xmlns:a16="http://schemas.microsoft.com/office/drawing/2014/main" id="{6BEEDB1A-FC9F-49D8-675F-FAE8024DAE42}"/>
            </a:ext>
          </a:extLst>
        </xdr:cNvPr>
        <xdr:cNvGrpSpPr/>
      </xdr:nvGrpSpPr>
      <xdr:grpSpPr>
        <a:xfrm>
          <a:off x="6440674" y="2575442"/>
          <a:ext cx="2511696" cy="886990"/>
          <a:chOff x="6226681" y="2574420"/>
          <a:chExt cx="2521000" cy="889780"/>
        </a:xfrm>
      </xdr:grpSpPr>
      <xdr:sp macro="" textlink="">
        <xdr:nvSpPr>
          <xdr:cNvPr id="8" name="Rectangle: Rounded Corners 7">
            <a:extLst>
              <a:ext uri="{FF2B5EF4-FFF2-40B4-BE49-F238E27FC236}">
                <a16:creationId xmlns:a16="http://schemas.microsoft.com/office/drawing/2014/main" id="{5E02D973-0396-1126-89D8-694EA7B93CD4}"/>
              </a:ext>
            </a:extLst>
          </xdr:cNvPr>
          <xdr:cNvSpPr/>
        </xdr:nvSpPr>
        <xdr:spPr>
          <a:xfrm>
            <a:off x="6226681" y="2574420"/>
            <a:ext cx="2521000" cy="889780"/>
          </a:xfrm>
          <a:prstGeom prst="roundRect">
            <a:avLst/>
          </a:prstGeom>
          <a:solidFill>
            <a:schemeClr val="bg1"/>
          </a:solidFill>
          <a:effectLst>
            <a:outerShdw blurRad="50800" dist="38100" dir="5400000" algn="t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en-US" sz="1400" b="1">
                <a:solidFill>
                  <a:schemeClr val="tx1"/>
                </a:solidFill>
                <a:latin typeface="Aharoni" panose="02010803020104030203" pitchFamily="2" charset="-79"/>
                <a:cs typeface="Aharoni" panose="02010803020104030203" pitchFamily="2" charset="-79"/>
              </a:rPr>
              <a:t>Total Deductions</a:t>
            </a:r>
          </a:p>
        </xdr:txBody>
      </xdr:sp>
      <xdr:sp macro="" textlink="'HR Report'!B25">
        <xdr:nvSpPr>
          <xdr:cNvPr id="9" name="TextBox 8">
            <a:extLst>
              <a:ext uri="{FF2B5EF4-FFF2-40B4-BE49-F238E27FC236}">
                <a16:creationId xmlns:a16="http://schemas.microsoft.com/office/drawing/2014/main" id="{97F25EE2-4539-9F2C-B9EE-15BFC5B7B865}"/>
              </a:ext>
            </a:extLst>
          </xdr:cNvPr>
          <xdr:cNvSpPr txBox="1"/>
        </xdr:nvSpPr>
        <xdr:spPr>
          <a:xfrm>
            <a:off x="6280000" y="2870032"/>
            <a:ext cx="2367833" cy="52444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marL="0" indent="0" algn="ctr"/>
            <a:fld id="{AB4BB4BB-0FF1-4768-91FB-FFB6E766CED2}" type="TxLink">
              <a:rPr lang="en-US" sz="4000" b="1" i="0" u="none" strike="noStrike">
                <a:solidFill>
                  <a:srgbClr val="000000"/>
                </a:solidFill>
                <a:latin typeface="Aharoni" panose="02010803020104030203" pitchFamily="2" charset="-79"/>
                <a:ea typeface="+mn-ea"/>
                <a:cs typeface="Aharoni" panose="02010803020104030203" pitchFamily="2" charset="-79"/>
              </a:rPr>
              <a:pPr marL="0" indent="0" algn="ctr"/>
              <a:t>4219.58</a:t>
            </a:fld>
            <a:endParaRPr lang="en-US" sz="4000" b="1" i="0" u="none" strike="noStrike">
              <a:solidFill>
                <a:srgbClr val="000000"/>
              </a:solidFill>
              <a:latin typeface="Aharoni" panose="02010803020104030203" pitchFamily="2" charset="-79"/>
              <a:ea typeface="+mn-ea"/>
              <a:cs typeface="Aharoni" panose="02010803020104030203" pitchFamily="2" charset="-79"/>
            </a:endParaRPr>
          </a:p>
        </xdr:txBody>
      </xdr:sp>
    </xdr:grpSp>
    <xdr:clientData/>
  </xdr:twoCellAnchor>
  <xdr:twoCellAnchor editAs="oneCell">
    <xdr:from>
      <xdr:col>0</xdr:col>
      <xdr:colOff>0</xdr:colOff>
      <xdr:row>16</xdr:row>
      <xdr:rowOff>169333</xdr:rowOff>
    </xdr:from>
    <xdr:to>
      <xdr:col>7</xdr:col>
      <xdr:colOff>62961</xdr:colOff>
      <xdr:row>35</xdr:row>
      <xdr:rowOff>155222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5DA0007C-5900-45E2-BAEA-7703A7BDDDE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11042</xdr:colOff>
      <xdr:row>0</xdr:row>
      <xdr:rowOff>0</xdr:rowOff>
    </xdr:from>
    <xdr:to>
      <xdr:col>16</xdr:col>
      <xdr:colOff>126999</xdr:colOff>
      <xdr:row>2</xdr:row>
      <xdr:rowOff>209826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0010EC82-7D7F-186D-B38F-378B975C3E3F}"/>
            </a:ext>
          </a:extLst>
        </xdr:cNvPr>
        <xdr:cNvSpPr/>
      </xdr:nvSpPr>
      <xdr:spPr>
        <a:xfrm>
          <a:off x="11042" y="0"/>
          <a:ext cx="11418957" cy="816604"/>
        </a:xfrm>
        <a:prstGeom prst="rect">
          <a:avLst/>
        </a:prstGeom>
        <a:solidFill>
          <a:schemeClr val="bg1"/>
        </a:solidFill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3200">
              <a:solidFill>
                <a:sysClr val="windowText" lastClr="000000"/>
              </a:solidFill>
              <a:latin typeface="Aharoni" panose="02010803020104030203" pitchFamily="2" charset="-79"/>
              <a:cs typeface="Aharoni" panose="02010803020104030203" pitchFamily="2" charset="-79"/>
            </a:rPr>
            <a:t>HR Payroll &amp; Attendance Dashboard</a:t>
          </a:r>
        </a:p>
      </xdr:txBody>
    </xdr:sp>
    <xdr:clientData/>
  </xdr:twoCellAnchor>
  <xdr:twoCellAnchor>
    <xdr:from>
      <xdr:col>7</xdr:col>
      <xdr:colOff>112889</xdr:colOff>
      <xdr:row>17</xdr:row>
      <xdr:rowOff>0</xdr:rowOff>
    </xdr:from>
    <xdr:to>
      <xdr:col>15</xdr:col>
      <xdr:colOff>465667</xdr:colOff>
      <xdr:row>35</xdr:row>
      <xdr:rowOff>169334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B2B6C08A-49D4-41B8-B404-C434DBB22EF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-YasserElkholy" refreshedDate="46259.796532175926" createdVersion="8" refreshedVersion="8" minRefreshableVersion="3" recordCount="35" xr:uid="{26479317-BF24-4E60-A7C6-C447ECA55660}">
  <cacheSource type="worksheet">
    <worksheetSource name="PayrollTable"/>
  </cacheSource>
  <cacheFields count="14">
    <cacheField name="Employee ID" numFmtId="0">
      <sharedItems/>
    </cacheField>
    <cacheField name="Employee Name" numFmtId="0">
      <sharedItems/>
    </cacheField>
    <cacheField name="Department" numFmtId="0">
      <sharedItems count="6">
        <s v="Warehouse"/>
        <s v="HR"/>
        <s v="Production"/>
        <s v="Finance"/>
        <s v="Quality Control"/>
        <s v="Maintenance"/>
      </sharedItems>
    </cacheField>
    <cacheField name="Basic Salary" numFmtId="4">
      <sharedItems containsSemiMixedTypes="0" containsString="0" containsNumber="1" containsInteger="1" minValue="4500" maxValue="9250"/>
    </cacheField>
    <cacheField name="Present Days" numFmtId="0">
      <sharedItems containsSemiMixedTypes="0" containsString="0" containsNumber="1" containsInteger="1" minValue="8" maxValue="10"/>
    </cacheField>
    <cacheField name="Absent Days" numFmtId="0">
      <sharedItems containsSemiMixedTypes="0" containsString="0" containsNumber="1" containsInteger="1" minValue="0" maxValue="2"/>
    </cacheField>
    <cacheField name="Total Late Minutes" numFmtId="0">
      <sharedItems containsSemiMixedTypes="0" containsString="0" containsNumber="1" minValue="0" maxValue="168.00000000000188"/>
    </cacheField>
    <cacheField name="Total Overtime Hours" numFmtId="2">
      <sharedItems containsSemiMixedTypes="0" containsString="0" containsNumber="1" minValue="0" maxValue="5.0499999999999741"/>
    </cacheField>
    <cacheField name="Daily Rate" numFmtId="4">
      <sharedItems containsSemiMixedTypes="0" containsString="0" containsNumber="1" minValue="173.07692307692307" maxValue="355.76923076923077"/>
    </cacheField>
    <cacheField name="Overtime Pay" numFmtId="4">
      <sharedItems containsSemiMixedTypes="0" containsString="0" containsNumber="1" minValue="0" maxValue="336.86899038461365"/>
    </cacheField>
    <cacheField name="Absence Deduction" numFmtId="4">
      <sharedItems containsSemiMixedTypes="0" containsString="0" containsNumber="1" minValue="0" maxValue="596.15384615384619"/>
    </cacheField>
    <cacheField name="Late Deduction" numFmtId="4">
      <sharedItems containsSemiMixedTypes="0" containsString="0" containsNumber="1" minValue="0" maxValue="86.83"/>
    </cacheField>
    <cacheField name="Total Deductions" numFmtId="4">
      <sharedItems containsSemiMixedTypes="0" containsString="0" containsNumber="1" minValue="0" maxValue="617.2638461538462"/>
    </cacheField>
    <cacheField name="Net Salary" numFmtId="4">
      <sharedItems containsSemiMixedTypes="0" containsString="0" containsNumber="1" minValue="4634.68" maxValue="9545.3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5">
  <r>
    <s v="EMP001"/>
    <s v="Sara Fahmy"/>
    <x v="0"/>
    <n v="5350"/>
    <n v="10"/>
    <n v="0"/>
    <n v="74.999999999999488"/>
    <n v="2.4166666666666607"/>
    <n v="205.76923076923077"/>
    <n v="93.239182692307466"/>
    <n v="0"/>
    <n v="32.15"/>
    <n v="32.15"/>
    <n v="5411.09"/>
  </r>
  <r>
    <s v="EMP002"/>
    <s v="Aya Abdel Rahman"/>
    <x v="1"/>
    <n v="7300"/>
    <n v="10"/>
    <n v="0"/>
    <n v="73.000000000000782"/>
    <n v="0.58333333333333393"/>
    <n v="280.76923076923077"/>
    <n v="30.709134615384645"/>
    <n v="0"/>
    <n v="42.7"/>
    <n v="42.7"/>
    <n v="7288.01"/>
  </r>
  <r>
    <s v="EMP003"/>
    <s v="Mahmoud Shalaby"/>
    <x v="2"/>
    <n v="6300"/>
    <n v="9"/>
    <n v="1"/>
    <n v="60.999999999999865"/>
    <n v="2.4666666666666686"/>
    <n v="242.30769230769232"/>
    <n v="112.06730769230779"/>
    <n v="242.30769230769232"/>
    <n v="30.79"/>
    <n v="273.09769230769234"/>
    <n v="6138.97"/>
  </r>
  <r>
    <s v="EMP004"/>
    <s v="Ali Shalaby"/>
    <x v="3"/>
    <n v="6600"/>
    <n v="10"/>
    <n v="0"/>
    <n v="48.000000000000952"/>
    <n v="1.8166666666666709"/>
    <n v="253.84615384615384"/>
    <n v="86.466346153846359"/>
    <n v="0"/>
    <n v="25.38"/>
    <n v="25.38"/>
    <n v="6661.09"/>
  </r>
  <r>
    <s v="EMP005"/>
    <s v="Salma Fahmy"/>
    <x v="4"/>
    <n v="7300"/>
    <n v="10"/>
    <n v="0"/>
    <n v="71.999999999999986"/>
    <n v="3.3166666666666922"/>
    <n v="280.76923076923077"/>
    <n v="174.60336538461672"/>
    <n v="0"/>
    <n v="42.12"/>
    <n v="42.12"/>
    <n v="7432.48"/>
  </r>
  <r>
    <s v="EMP006"/>
    <s v="Hassan Ibrahim"/>
    <x v="2"/>
    <n v="6250"/>
    <n v="10"/>
    <n v="0"/>
    <n v="143.0000000000006"/>
    <n v="2.4500000000000126"/>
    <n v="240.38461538461539"/>
    <n v="110.42668269230825"/>
    <n v="0"/>
    <n v="71.61"/>
    <n v="71.61"/>
    <n v="6288.82"/>
  </r>
  <r>
    <s v="EMP007"/>
    <s v="Sherif Hassan"/>
    <x v="1"/>
    <n v="7700"/>
    <n v="9"/>
    <n v="1"/>
    <n v="71.000000000000625"/>
    <n v="0.29999999999999094"/>
    <n v="296.15384615384613"/>
    <n v="16.658653846153342"/>
    <n v="296.15384615384613"/>
    <n v="43.81"/>
    <n v="339.96384615384613"/>
    <n v="7376.69"/>
  </r>
  <r>
    <s v="EMP008"/>
    <s v="Heba Abdallah"/>
    <x v="0"/>
    <n v="4750"/>
    <n v="9"/>
    <n v="1"/>
    <n v="36.000000000000028"/>
    <n v="4.8333333333333321"/>
    <n v="182.69230769230768"/>
    <n v="165.56490384615378"/>
    <n v="182.69230769230768"/>
    <n v="13.7"/>
    <n v="196.39230769230767"/>
    <n v="4719.17"/>
  </r>
  <r>
    <s v="EMP009"/>
    <s v="Sherif Shalaby"/>
    <x v="2"/>
    <n v="5550"/>
    <n v="10"/>
    <n v="0"/>
    <n v="150.00000000000193"/>
    <n v="3.1166666666666369"/>
    <n v="213.46153846153845"/>
    <n v="124.74158653846035"/>
    <n v="0"/>
    <n v="66.709999999999994"/>
    <n v="66.709999999999994"/>
    <n v="5608.03"/>
  </r>
  <r>
    <s v="EMP010"/>
    <s v="Walid El-Naggar"/>
    <x v="4"/>
    <n v="6000"/>
    <n v="10"/>
    <n v="0"/>
    <n v="37.000000000000824"/>
    <n v="3.1499999999999861"/>
    <n v="230.76923076923077"/>
    <n v="136.29807692307634"/>
    <n v="0"/>
    <n v="17.79"/>
    <n v="17.79"/>
    <n v="6118.51"/>
  </r>
  <r>
    <s v="EMP011"/>
    <s v="Hany Abdallah"/>
    <x v="5"/>
    <n v="5200"/>
    <n v="8"/>
    <n v="2"/>
    <n v="143.00000000000063"/>
    <n v="3.0666666666666451"/>
    <n v="200"/>
    <n v="114.9999999999992"/>
    <n v="400"/>
    <n v="59.58"/>
    <n v="459.58"/>
    <n v="4855.42"/>
  </r>
  <r>
    <s v="EMP012"/>
    <s v="Hany Abdallah"/>
    <x v="4"/>
    <n v="6950"/>
    <n v="10"/>
    <n v="0"/>
    <n v="36.000000000000028"/>
    <n v="2.733333333333313"/>
    <n v="267.30769230769232"/>
    <n v="136.9951923076913"/>
    <n v="0"/>
    <n v="20.05"/>
    <n v="20.05"/>
    <n v="7066.95"/>
  </r>
  <r>
    <s v="EMP013"/>
    <s v="Mahmoud Hassan"/>
    <x v="4"/>
    <n v="7700"/>
    <n v="10"/>
    <n v="0"/>
    <n v="31.000000000000291"/>
    <n v="2.0833333333333259"/>
    <n v="296.15384615384613"/>
    <n v="115.68509615384573"/>
    <n v="0"/>
    <n v="19.13"/>
    <n v="19.13"/>
    <n v="7796.56"/>
  </r>
  <r>
    <s v="EMP014"/>
    <s v="Hassan El-Naggar"/>
    <x v="4"/>
    <n v="6600"/>
    <n v="10"/>
    <n v="0"/>
    <n v="101.99999999999947"/>
    <n v="4.0666666666666522"/>
    <n v="253.84615384615384"/>
    <n v="193.55769230769158"/>
    <n v="0"/>
    <n v="53.94"/>
    <n v="53.94"/>
    <n v="6739.62"/>
  </r>
  <r>
    <s v="EMP015"/>
    <s v="Youssef Mahmoud"/>
    <x v="0"/>
    <n v="4950"/>
    <n v="10"/>
    <n v="0"/>
    <n v="0"/>
    <n v="1.6499999999999968"/>
    <n v="190.38461538461539"/>
    <n v="58.900240384615273"/>
    <n v="0"/>
    <n v="0"/>
    <n v="0"/>
    <n v="5008.8999999999996"/>
  </r>
  <r>
    <s v="EMP016"/>
    <s v="Nour Zaki"/>
    <x v="0"/>
    <n v="5950"/>
    <n v="10"/>
    <n v="0"/>
    <n v="80.999999999999943"/>
    <n v="2.6499999999999959"/>
    <n v="228.84615384615384"/>
    <n v="113.70793269230751"/>
    <n v="0"/>
    <n v="38.619999999999997"/>
    <n v="38.619999999999997"/>
    <n v="6025.09"/>
  </r>
  <r>
    <s v="EMP017"/>
    <s v="Tarek Fahmy"/>
    <x v="0"/>
    <n v="5400"/>
    <n v="9"/>
    <n v="1"/>
    <n v="9.999999999999325"/>
    <n v="2.2833333333333252"/>
    <n v="207.69230769230768"/>
    <n v="88.918269230768914"/>
    <n v="207.69230769230768"/>
    <n v="4.33"/>
    <n v="212.02230769230769"/>
    <n v="5276.9"/>
  </r>
  <r>
    <s v="EMP018"/>
    <s v="Karim Fahmy"/>
    <x v="2"/>
    <n v="5200"/>
    <n v="10"/>
    <n v="0"/>
    <n v="42.999999999999844"/>
    <n v="1.6999999999999966"/>
    <n v="200"/>
    <n v="63.749999999999872"/>
    <n v="0"/>
    <n v="17.920000000000002"/>
    <n v="17.920000000000002"/>
    <n v="5245.83"/>
  </r>
  <r>
    <s v="EMP019"/>
    <s v="Ahmed Sabry"/>
    <x v="1"/>
    <n v="6450"/>
    <n v="10"/>
    <n v="0"/>
    <n v="168.00000000000188"/>
    <n v="2.2833333333333332"/>
    <n v="248.07692307692307"/>
    <n v="106.20793269230768"/>
    <n v="0"/>
    <n v="86.83"/>
    <n v="86.83"/>
    <n v="6469.38"/>
  </r>
  <r>
    <s v="EMP020"/>
    <s v="Heba Farouk"/>
    <x v="1"/>
    <n v="7600"/>
    <n v="10"/>
    <n v="0"/>
    <n v="58.999999999999709"/>
    <n v="1.1166666666666627"/>
    <n v="292.30769230769232"/>
    <n v="61.201923076922867"/>
    <n v="0"/>
    <n v="35.93"/>
    <n v="35.93"/>
    <n v="7625.27"/>
  </r>
  <r>
    <s v="EMP021"/>
    <s v="Marwa Abdel Rahman"/>
    <x v="0"/>
    <n v="4500"/>
    <n v="10"/>
    <n v="0"/>
    <n v="74.999999999999488"/>
    <n v="4.9833333333333236"/>
    <n v="173.07692307692307"/>
    <n v="161.71874999999969"/>
    <n v="0"/>
    <n v="27.04"/>
    <n v="27.04"/>
    <n v="4634.68"/>
  </r>
  <r>
    <s v="EMP022"/>
    <s v="Dina Zaki"/>
    <x v="2"/>
    <n v="5000"/>
    <n v="10"/>
    <n v="0"/>
    <n v="0"/>
    <n v="3.283333333333327"/>
    <n v="192.30769230769232"/>
    <n v="118.38942307692285"/>
    <n v="0"/>
    <n v="0"/>
    <n v="0"/>
    <n v="5118.3900000000003"/>
  </r>
  <r>
    <s v="EMP023"/>
    <s v="Ali Abdallah"/>
    <x v="1"/>
    <n v="6450"/>
    <n v="10"/>
    <n v="0"/>
    <n v="28.000000000000778"/>
    <n v="3.0499999999999972"/>
    <n v="248.07692307692307"/>
    <n v="141.86899038461524"/>
    <n v="0"/>
    <n v="14.47"/>
    <n v="14.47"/>
    <n v="6577.4"/>
  </r>
  <r>
    <s v="EMP024"/>
    <s v="Salma Mahmoud"/>
    <x v="4"/>
    <n v="6700"/>
    <n v="10"/>
    <n v="0"/>
    <n v="53.000000000000611"/>
    <n v="1.6166666666666796"/>
    <n v="257.69230769230768"/>
    <n v="78.112980769231385"/>
    <n v="0"/>
    <n v="28.45"/>
    <n v="28.45"/>
    <n v="6749.66"/>
  </r>
  <r>
    <s v="EMP025"/>
    <s v="Omar El-Din"/>
    <x v="4"/>
    <n v="7050"/>
    <n v="9"/>
    <n v="1"/>
    <n v="18.000000000000014"/>
    <n v="3.1500000000000048"/>
    <n v="271.15384615384613"/>
    <n v="160.15024038461561"/>
    <n v="271.15384615384613"/>
    <n v="10.17"/>
    <n v="281.32384615384615"/>
    <n v="6928.83"/>
  </r>
  <r>
    <s v="EMP026"/>
    <s v="Yara Sabry"/>
    <x v="0"/>
    <n v="5250"/>
    <n v="9"/>
    <n v="1"/>
    <n v="0"/>
    <n v="0.31666666666667087"/>
    <n v="201.92307692307693"/>
    <n v="11.989182692307853"/>
    <n v="201.92307692307693"/>
    <n v="0"/>
    <n v="201.92307692307693"/>
    <n v="5060.07"/>
  </r>
  <r>
    <s v="EMP027"/>
    <s v="Walid El-Din"/>
    <x v="0"/>
    <n v="5850"/>
    <n v="10"/>
    <n v="0"/>
    <n v="72.999999999999346"/>
    <n v="0.84999999999999964"/>
    <n v="225"/>
    <n v="35.859374999999986"/>
    <n v="0"/>
    <n v="34.22"/>
    <n v="34.22"/>
    <n v="5851.64"/>
  </r>
  <r>
    <s v="EMP028"/>
    <s v="Mona Fahmy"/>
    <x v="3"/>
    <n v="9250"/>
    <n v="10"/>
    <n v="0"/>
    <n v="56.000000000000121"/>
    <n v="5.0499999999999741"/>
    <n v="355.76923076923077"/>
    <n v="336.86899038461365"/>
    <n v="0"/>
    <n v="41.51"/>
    <n v="41.51"/>
    <n v="9545.36"/>
  </r>
  <r>
    <s v="EMP029"/>
    <s v="Mahmoud El-Din"/>
    <x v="1"/>
    <n v="6700"/>
    <n v="9"/>
    <n v="1"/>
    <n v="62.000000000000661"/>
    <n v="3.3666666666666467"/>
    <n v="257.69230769230768"/>
    <n v="162.66826923076826"/>
    <n v="257.69230769230768"/>
    <n v="33.29"/>
    <n v="290.9823076923077"/>
    <n v="6571.69"/>
  </r>
  <r>
    <s v="EMP030"/>
    <s v="Salma Abdallah"/>
    <x v="3"/>
    <n v="7750"/>
    <n v="8"/>
    <n v="2"/>
    <n v="33.999999999999879"/>
    <n v="2.3166666666666798"/>
    <n v="298.07692307692309"/>
    <n v="129.47716346153919"/>
    <n v="596.15384615384619"/>
    <n v="21.11"/>
    <n v="617.2638461538462"/>
    <n v="7262.21"/>
  </r>
  <r>
    <s v="EMP031"/>
    <s v="Walid Shalaby"/>
    <x v="5"/>
    <n v="5050"/>
    <n v="10"/>
    <n v="0"/>
    <n v="29.999999999999496"/>
    <n v="1.5166666666666719"/>
    <n v="194.23076923076923"/>
    <n v="55.234375000000185"/>
    <n v="0"/>
    <n v="12.14"/>
    <n v="12.14"/>
    <n v="5093.09"/>
  </r>
  <r>
    <s v="EMP032"/>
    <s v="Fady El-Din"/>
    <x v="0"/>
    <n v="5300"/>
    <n v="10"/>
    <n v="0"/>
    <n v="117.00000000000006"/>
    <n v="1.8000000000000069"/>
    <n v="203.84615384615384"/>
    <n v="68.79807692307719"/>
    <n v="0"/>
    <n v="49.69"/>
    <n v="49.69"/>
    <n v="5319.11"/>
  </r>
  <r>
    <s v="EMP033"/>
    <s v="Yara Farouk"/>
    <x v="4"/>
    <n v="7000"/>
    <n v="10"/>
    <n v="0"/>
    <n v="0"/>
    <n v="3.3333333333327886E-2"/>
    <n v="269.23076923076923"/>
    <n v="1.6826923076920326"/>
    <n v="0"/>
    <n v="0"/>
    <n v="0"/>
    <n v="7001.68"/>
  </r>
  <r>
    <s v="EMP034"/>
    <s v="Khaled Abdallah"/>
    <x v="5"/>
    <n v="6100"/>
    <n v="9"/>
    <n v="1"/>
    <n v="56.000000000000121"/>
    <n v="1.3666666666666698"/>
    <n v="234.61538461538461"/>
    <n v="60.120192307692449"/>
    <n v="234.61538461538461"/>
    <n v="27.37"/>
    <n v="261.98538461538459"/>
    <n v="5898.13"/>
  </r>
  <r>
    <s v="EMP035"/>
    <s v="Fady Hassan"/>
    <x v="3"/>
    <n v="7100"/>
    <n v="9"/>
    <n v="1"/>
    <n v="58.999999999999709"/>
    <n v="0"/>
    <n v="273.07692307692309"/>
    <n v="0"/>
    <n v="273.07692307692309"/>
    <n v="33.57"/>
    <n v="306.64692307692309"/>
    <n v="6793.3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598A6B-1503-4B07-82D1-D7FE4FD9D899}" name="PivotTable2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19:F36" firstHeaderRow="1" firstDataRow="1" firstDataCol="0"/>
  <pivotFields count="14">
    <pivotField showAll="0"/>
    <pivotField showAll="0"/>
    <pivotField showAll="0"/>
    <pivotField numFmtId="4" showAll="0"/>
    <pivotField showAll="0"/>
    <pivotField showAll="0"/>
    <pivotField showAll="0"/>
    <pivotField numFmtId="2" showAll="0"/>
    <pivotField numFmtId="4" showAll="0"/>
    <pivotField numFmtId="4" showAll="0"/>
    <pivotField numFmtId="4" showAll="0"/>
    <pivotField numFmtId="4" showAll="0"/>
    <pivotField numFmtId="4" showAll="0"/>
    <pivotField numFmtId="4"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65D9958-BCAE-474A-A479-574801487585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A40:B47" firstHeaderRow="1" firstDataRow="1" firstDataCol="1"/>
  <pivotFields count="14">
    <pivotField dataField="1" showAll="0"/>
    <pivotField showAll="0"/>
    <pivotField axis="axisRow" showAll="0">
      <items count="7">
        <item x="3"/>
        <item x="1"/>
        <item x="5"/>
        <item x="2"/>
        <item x="4"/>
        <item x="0"/>
        <item t="default"/>
      </items>
    </pivotField>
    <pivotField numFmtId="4" showAll="0"/>
    <pivotField showAll="0"/>
    <pivotField showAll="0"/>
    <pivotField showAll="0"/>
    <pivotField numFmtId="2" showAll="0"/>
    <pivotField numFmtId="4" showAll="0"/>
    <pivotField numFmtId="4" showAll="0"/>
    <pivotField numFmtId="4" showAll="0"/>
    <pivotField numFmtId="4" showAll="0"/>
    <pivotField numFmtId="4" showAll="0"/>
    <pivotField numFmtId="4" showAll="0"/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Employee ID" fld="0" subtotal="count" baseField="0" baseItem="0"/>
  </dataFields>
  <formats count="6">
    <format dxfId="6">
      <pivotArea field="2" type="button" dataOnly="0" labelOnly="1" outline="0" axis="axisRow" fieldPosition="0"/>
    </format>
    <format dxfId="5">
      <pivotArea dataOnly="0" labelOnly="1" outline="0" axis="axisValues" fieldPosition="0"/>
    </format>
    <format dxfId="3">
      <pivotArea collapsedLevelsAreSubtotals="1" fieldPosition="0">
        <references count="1">
          <reference field="2" count="0"/>
        </references>
      </pivotArea>
    </format>
    <format dxfId="2">
      <pivotArea dataOnly="0" labelOnly="1" fieldPosition="0">
        <references count="1">
          <reference field="2" count="0"/>
        </references>
      </pivotArea>
    </format>
    <format dxfId="1">
      <pivotArea grandRow="1" outline="0" collapsedLevelsAreSubtotals="1" fieldPosition="0"/>
    </format>
    <format dxfId="0">
      <pivotArea dataOnly="0" labelOnly="1" grandRow="1" outline="0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EmployeesTable" displayName="EmployeesTable" ref="A1:G36" totalsRowShown="0">
  <autoFilter ref="A1:G36" xr:uid="{00000000-0009-0000-0100-000002000000}"/>
  <tableColumns count="7">
    <tableColumn id="1" xr3:uid="{00000000-0010-0000-0000-000001000000}" name="Employee ID"/>
    <tableColumn id="2" xr3:uid="{00000000-0010-0000-0000-000002000000}" name="Employee Name"/>
    <tableColumn id="3" xr3:uid="{00000000-0010-0000-0000-000003000000}" name="Department"/>
    <tableColumn id="4" xr3:uid="{00000000-0010-0000-0000-000004000000}" name="Job Title"/>
    <tableColumn id="5" xr3:uid="{00000000-0010-0000-0000-000005000000}" name="Hire Date"/>
    <tableColumn id="6" xr3:uid="{00000000-0010-0000-0000-000006000000}" name="Basic Salary"/>
    <tableColumn id="7" xr3:uid="{00000000-0010-0000-0000-000007000000}" name="Status" dataDxfId="10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AttendanceTable" displayName="AttendanceTable" ref="A1:H338" totalsRowShown="0">
  <autoFilter ref="A1:H338" xr:uid="{00000000-0009-0000-0100-000001000000}"/>
  <tableColumns count="8">
    <tableColumn id="1" xr3:uid="{00000000-0010-0000-0100-000001000000}" name="Employee ID"/>
    <tableColumn id="2" xr3:uid="{00000000-0010-0000-0100-000002000000}" name="Date"/>
    <tableColumn id="3" xr3:uid="{00000000-0010-0000-0100-000003000000}" name="Check In"/>
    <tableColumn id="4" xr3:uid="{00000000-0010-0000-0100-000004000000}" name="Check Out"/>
    <tableColumn id="5" xr3:uid="{00000000-0010-0000-0100-000005000000}" name="Working Hours"/>
    <tableColumn id="6" xr3:uid="{00000000-0010-0000-0100-000006000000}" name="Late Minutes"/>
    <tableColumn id="7" xr3:uid="{00000000-0010-0000-0100-000007000000}" name="Overtime Hours"/>
    <tableColumn id="8" xr3:uid="{00000000-0010-0000-0100-000008000000}" name="Attendance Status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PayrollTable" displayName="PayrollTable" ref="A1:N36" totalsRowShown="0">
  <autoFilter ref="A1:N36" xr:uid="{00000000-0009-0000-0100-000003000000}"/>
  <tableColumns count="14">
    <tableColumn id="1" xr3:uid="{00000000-0010-0000-0200-000001000000}" name="Employee ID"/>
    <tableColumn id="2" xr3:uid="{00000000-0010-0000-0200-000002000000}" name="Employee Name"/>
    <tableColumn id="3" xr3:uid="{00000000-0010-0000-0200-000003000000}" name="Department"/>
    <tableColumn id="4" xr3:uid="{00000000-0010-0000-0200-000004000000}" name="Basic Salary"/>
    <tableColumn id="5" xr3:uid="{00000000-0010-0000-0200-000005000000}" name="Present Days"/>
    <tableColumn id="6" xr3:uid="{00000000-0010-0000-0200-000006000000}" name="Absent Days"/>
    <tableColumn id="7" xr3:uid="{00000000-0010-0000-0200-000007000000}" name="Total Late Minutes" dataDxfId="9"/>
    <tableColumn id="8" xr3:uid="{00000000-0010-0000-0200-000008000000}" name="Total Overtime Hours" dataDxfId="8"/>
    <tableColumn id="9" xr3:uid="{00000000-0010-0000-0200-000009000000}" name="Daily Rate" dataDxfId="7"/>
    <tableColumn id="10" xr3:uid="{00000000-0010-0000-0200-00000A000000}" name="Overtime Pay"/>
    <tableColumn id="11" xr3:uid="{00000000-0010-0000-0200-00000B000000}" name="Absence Deduction"/>
    <tableColumn id="12" xr3:uid="{00000000-0010-0000-0200-00000C000000}" name="Late Deduction"/>
    <tableColumn id="13" xr3:uid="{00000000-0010-0000-0200-00000D000000}" name="Total Deductions"/>
    <tableColumn id="14" xr3:uid="{00000000-0010-0000-0200-00000E000000}" name="Net Salary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"/>
  <sheetViews>
    <sheetView tabSelected="1" zoomScaleNormal="100" workbookViewId="0">
      <selection activeCell="B21" sqref="B21"/>
    </sheetView>
  </sheetViews>
  <sheetFormatPr defaultColWidth="8.6640625" defaultRowHeight="14.4" x14ac:dyDescent="0.3"/>
  <cols>
    <col min="1" max="1" width="100" customWidth="1"/>
  </cols>
  <sheetData>
    <row r="1" spans="1:5" ht="17.399999999999999" x14ac:dyDescent="0.3">
      <c r="A1" s="36" t="s">
        <v>131</v>
      </c>
      <c r="B1" s="14"/>
      <c r="C1" s="14"/>
      <c r="D1" s="14"/>
      <c r="E1" s="14"/>
    </row>
    <row r="2" spans="1:5" x14ac:dyDescent="0.3">
      <c r="A2" s="1"/>
    </row>
    <row r="3" spans="1:5" x14ac:dyDescent="0.3">
      <c r="A3" s="37" t="s">
        <v>132</v>
      </c>
    </row>
    <row r="4" spans="1:5" x14ac:dyDescent="0.3">
      <c r="A4" s="38" t="s">
        <v>133</v>
      </c>
    </row>
    <row r="5" spans="1:5" x14ac:dyDescent="0.3">
      <c r="A5" s="38" t="s">
        <v>134</v>
      </c>
    </row>
    <row r="6" spans="1:5" x14ac:dyDescent="0.3">
      <c r="A6" s="38" t="s">
        <v>135</v>
      </c>
    </row>
    <row r="7" spans="1:5" x14ac:dyDescent="0.3">
      <c r="A7" s="1"/>
    </row>
    <row r="8" spans="1:5" x14ac:dyDescent="0.3">
      <c r="A8" s="37" t="s">
        <v>136</v>
      </c>
    </row>
    <row r="9" spans="1:5" x14ac:dyDescent="0.3">
      <c r="A9" s="38" t="s">
        <v>137</v>
      </c>
    </row>
    <row r="10" spans="1:5" x14ac:dyDescent="0.3">
      <c r="A10" s="38" t="s">
        <v>138</v>
      </c>
    </row>
    <row r="11" spans="1:5" x14ac:dyDescent="0.3">
      <c r="A11" s="38" t="s">
        <v>139</v>
      </c>
    </row>
    <row r="12" spans="1:5" x14ac:dyDescent="0.3">
      <c r="A12" s="1"/>
    </row>
    <row r="13" spans="1:5" x14ac:dyDescent="0.3">
      <c r="A13" s="37" t="s">
        <v>140</v>
      </c>
    </row>
    <row r="14" spans="1:5" x14ac:dyDescent="0.3">
      <c r="A14" s="38" t="s">
        <v>141</v>
      </c>
    </row>
    <row r="15" spans="1:5" x14ac:dyDescent="0.3">
      <c r="A15" s="38" t="s">
        <v>142</v>
      </c>
    </row>
    <row r="17" spans="1:1" x14ac:dyDescent="0.3">
      <c r="A17" s="37" t="s">
        <v>143</v>
      </c>
    </row>
    <row r="18" spans="1:1" x14ac:dyDescent="0.3">
      <c r="A18" s="38" t="s">
        <v>144</v>
      </c>
    </row>
    <row r="19" spans="1:1" x14ac:dyDescent="0.3">
      <c r="A19" s="38" t="s">
        <v>145</v>
      </c>
    </row>
  </sheetData>
  <mergeCells count="1">
    <mergeCell ref="A1:E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6"/>
  <sheetViews>
    <sheetView zoomScaleNormal="100" workbookViewId="0">
      <pane ySplit="1" topLeftCell="A2" activePane="bottomLeft" state="frozen"/>
      <selection pane="bottomLeft" activeCell="I8" sqref="I8"/>
    </sheetView>
  </sheetViews>
  <sheetFormatPr defaultColWidth="8.6640625" defaultRowHeight="14.4" x14ac:dyDescent="0.3"/>
  <cols>
    <col min="1" max="1" width="12" customWidth="1"/>
    <col min="2" max="2" width="20" customWidth="1"/>
    <col min="3" max="3" width="16" customWidth="1"/>
    <col min="4" max="4" width="22" customWidth="1"/>
    <col min="5" max="6" width="13" customWidth="1"/>
    <col min="7" max="7" width="10" style="13" customWidth="1"/>
  </cols>
  <sheetData>
    <row r="1" spans="1:7" ht="27.6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11" t="s">
        <v>6</v>
      </c>
    </row>
    <row r="2" spans="1:7" x14ac:dyDescent="0.3">
      <c r="A2" s="4" t="s">
        <v>7</v>
      </c>
      <c r="B2" s="4" t="s">
        <v>8</v>
      </c>
      <c r="C2" s="4" t="s">
        <v>9</v>
      </c>
      <c r="D2" s="4" t="s">
        <v>10</v>
      </c>
      <c r="E2" s="5">
        <v>43347</v>
      </c>
      <c r="F2" s="6">
        <v>5350</v>
      </c>
      <c r="G2" s="12" t="s">
        <v>11</v>
      </c>
    </row>
    <row r="3" spans="1:7" x14ac:dyDescent="0.3">
      <c r="A3" s="4" t="s">
        <v>12</v>
      </c>
      <c r="B3" s="4" t="s">
        <v>13</v>
      </c>
      <c r="C3" s="4" t="s">
        <v>14</v>
      </c>
      <c r="D3" s="4" t="s">
        <v>15</v>
      </c>
      <c r="E3" s="5">
        <v>42780</v>
      </c>
      <c r="F3" s="6">
        <v>7300</v>
      </c>
      <c r="G3" s="12" t="s">
        <v>11</v>
      </c>
    </row>
    <row r="4" spans="1:7" x14ac:dyDescent="0.3">
      <c r="A4" s="4" t="s">
        <v>16</v>
      </c>
      <c r="B4" s="4" t="s">
        <v>17</v>
      </c>
      <c r="C4" s="4" t="s">
        <v>18</v>
      </c>
      <c r="D4" s="4" t="s">
        <v>19</v>
      </c>
      <c r="E4" s="5">
        <v>44953</v>
      </c>
      <c r="F4" s="6">
        <v>6300</v>
      </c>
      <c r="G4" s="12" t="s">
        <v>11</v>
      </c>
    </row>
    <row r="5" spans="1:7" x14ac:dyDescent="0.3">
      <c r="A5" s="4" t="s">
        <v>20</v>
      </c>
      <c r="B5" s="4" t="s">
        <v>21</v>
      </c>
      <c r="C5" s="4" t="s">
        <v>22</v>
      </c>
      <c r="D5" s="4" t="s">
        <v>23</v>
      </c>
      <c r="E5" s="5">
        <v>44934</v>
      </c>
      <c r="F5" s="6">
        <v>6600</v>
      </c>
      <c r="G5" s="12" t="s">
        <v>11</v>
      </c>
    </row>
    <row r="6" spans="1:7" x14ac:dyDescent="0.3">
      <c r="A6" s="4" t="s">
        <v>24</v>
      </c>
      <c r="B6" s="4" t="s">
        <v>25</v>
      </c>
      <c r="C6" s="4" t="s">
        <v>26</v>
      </c>
      <c r="D6" s="4" t="s">
        <v>27</v>
      </c>
      <c r="E6" s="5">
        <v>43712</v>
      </c>
      <c r="F6" s="6">
        <v>7300</v>
      </c>
      <c r="G6" s="12" t="s">
        <v>11</v>
      </c>
    </row>
    <row r="7" spans="1:7" x14ac:dyDescent="0.3">
      <c r="A7" s="4" t="s">
        <v>28</v>
      </c>
      <c r="B7" s="4" t="s">
        <v>29</v>
      </c>
      <c r="C7" s="4" t="s">
        <v>18</v>
      </c>
      <c r="D7" s="4" t="s">
        <v>19</v>
      </c>
      <c r="E7" s="5">
        <v>43986</v>
      </c>
      <c r="F7" s="6">
        <v>6250</v>
      </c>
      <c r="G7" s="12" t="s">
        <v>11</v>
      </c>
    </row>
    <row r="8" spans="1:7" x14ac:dyDescent="0.3">
      <c r="A8" s="4" t="s">
        <v>30</v>
      </c>
      <c r="B8" s="4" t="s">
        <v>31</v>
      </c>
      <c r="C8" s="4" t="s">
        <v>14</v>
      </c>
      <c r="D8" s="4" t="s">
        <v>15</v>
      </c>
      <c r="E8" s="5">
        <v>44065</v>
      </c>
      <c r="F8" s="6">
        <v>7700</v>
      </c>
      <c r="G8" s="12" t="s">
        <v>11</v>
      </c>
    </row>
    <row r="9" spans="1:7" x14ac:dyDescent="0.3">
      <c r="A9" s="4" t="s">
        <v>32</v>
      </c>
      <c r="B9" s="4" t="s">
        <v>33</v>
      </c>
      <c r="C9" s="4" t="s">
        <v>9</v>
      </c>
      <c r="D9" s="4" t="s">
        <v>34</v>
      </c>
      <c r="E9" s="5">
        <v>44689</v>
      </c>
      <c r="F9" s="6">
        <v>4750</v>
      </c>
      <c r="G9" s="12" t="s">
        <v>11</v>
      </c>
    </row>
    <row r="10" spans="1:7" x14ac:dyDescent="0.3">
      <c r="A10" s="4" t="s">
        <v>35</v>
      </c>
      <c r="B10" s="4" t="s">
        <v>36</v>
      </c>
      <c r="C10" s="4" t="s">
        <v>18</v>
      </c>
      <c r="D10" s="4" t="s">
        <v>19</v>
      </c>
      <c r="E10" s="5">
        <v>44455</v>
      </c>
      <c r="F10" s="6">
        <v>5550</v>
      </c>
      <c r="G10" s="12" t="s">
        <v>11</v>
      </c>
    </row>
    <row r="11" spans="1:7" x14ac:dyDescent="0.3">
      <c r="A11" s="4" t="s">
        <v>37</v>
      </c>
      <c r="B11" s="4" t="s">
        <v>38</v>
      </c>
      <c r="C11" s="4" t="s">
        <v>26</v>
      </c>
      <c r="D11" s="4" t="s">
        <v>39</v>
      </c>
      <c r="E11" s="5">
        <v>43357</v>
      </c>
      <c r="F11" s="6">
        <v>6000</v>
      </c>
      <c r="G11" s="12" t="s">
        <v>11</v>
      </c>
    </row>
    <row r="12" spans="1:7" x14ac:dyDescent="0.3">
      <c r="A12" s="4" t="s">
        <v>40</v>
      </c>
      <c r="B12" s="4" t="s">
        <v>41</v>
      </c>
      <c r="C12" s="4" t="s">
        <v>42</v>
      </c>
      <c r="D12" s="4" t="s">
        <v>43</v>
      </c>
      <c r="E12" s="5">
        <v>44948</v>
      </c>
      <c r="F12" s="6">
        <v>5200</v>
      </c>
      <c r="G12" s="12" t="s">
        <v>11</v>
      </c>
    </row>
    <row r="13" spans="1:7" x14ac:dyDescent="0.3">
      <c r="A13" s="4" t="s">
        <v>44</v>
      </c>
      <c r="B13" s="4" t="s">
        <v>41</v>
      </c>
      <c r="C13" s="4" t="s">
        <v>26</v>
      </c>
      <c r="D13" s="4" t="s">
        <v>27</v>
      </c>
      <c r="E13" s="5">
        <v>45591</v>
      </c>
      <c r="F13" s="6">
        <v>6950</v>
      </c>
      <c r="G13" s="12" t="s">
        <v>11</v>
      </c>
    </row>
    <row r="14" spans="1:7" x14ac:dyDescent="0.3">
      <c r="A14" s="4" t="s">
        <v>45</v>
      </c>
      <c r="B14" s="4" t="s">
        <v>46</v>
      </c>
      <c r="C14" s="4" t="s">
        <v>26</v>
      </c>
      <c r="D14" s="4" t="s">
        <v>27</v>
      </c>
      <c r="E14" s="5">
        <v>43124</v>
      </c>
      <c r="F14" s="6">
        <v>7700</v>
      </c>
      <c r="G14" s="12" t="s">
        <v>11</v>
      </c>
    </row>
    <row r="15" spans="1:7" x14ac:dyDescent="0.3">
      <c r="A15" s="4" t="s">
        <v>47</v>
      </c>
      <c r="B15" s="4" t="s">
        <v>48</v>
      </c>
      <c r="C15" s="4" t="s">
        <v>26</v>
      </c>
      <c r="D15" s="4" t="s">
        <v>27</v>
      </c>
      <c r="E15" s="5">
        <v>44576</v>
      </c>
      <c r="F15" s="6">
        <v>6600</v>
      </c>
      <c r="G15" s="12" t="s">
        <v>11</v>
      </c>
    </row>
    <row r="16" spans="1:7" x14ac:dyDescent="0.3">
      <c r="A16" s="4" t="s">
        <v>49</v>
      </c>
      <c r="B16" s="4" t="s">
        <v>50</v>
      </c>
      <c r="C16" s="4" t="s">
        <v>9</v>
      </c>
      <c r="D16" s="4" t="s">
        <v>10</v>
      </c>
      <c r="E16" s="5">
        <v>43956</v>
      </c>
      <c r="F16" s="6">
        <v>4950</v>
      </c>
      <c r="G16" s="12" t="s">
        <v>11</v>
      </c>
    </row>
    <row r="17" spans="1:7" x14ac:dyDescent="0.3">
      <c r="A17" s="4" t="s">
        <v>51</v>
      </c>
      <c r="B17" s="4" t="s">
        <v>52</v>
      </c>
      <c r="C17" s="4" t="s">
        <v>9</v>
      </c>
      <c r="D17" s="4" t="s">
        <v>10</v>
      </c>
      <c r="E17" s="5">
        <v>43690</v>
      </c>
      <c r="F17" s="6">
        <v>5950</v>
      </c>
      <c r="G17" s="12" t="s">
        <v>11</v>
      </c>
    </row>
    <row r="18" spans="1:7" x14ac:dyDescent="0.3">
      <c r="A18" s="4" t="s">
        <v>53</v>
      </c>
      <c r="B18" s="4" t="s">
        <v>54</v>
      </c>
      <c r="C18" s="4" t="s">
        <v>9</v>
      </c>
      <c r="D18" s="4" t="s">
        <v>34</v>
      </c>
      <c r="E18" s="5">
        <v>45099</v>
      </c>
      <c r="F18" s="6">
        <v>5400</v>
      </c>
      <c r="G18" s="12" t="s">
        <v>11</v>
      </c>
    </row>
    <row r="19" spans="1:7" x14ac:dyDescent="0.3">
      <c r="A19" s="4" t="s">
        <v>55</v>
      </c>
      <c r="B19" s="4" t="s">
        <v>56</v>
      </c>
      <c r="C19" s="4" t="s">
        <v>18</v>
      </c>
      <c r="D19" s="4" t="s">
        <v>57</v>
      </c>
      <c r="E19" s="5">
        <v>43577</v>
      </c>
      <c r="F19" s="6">
        <v>5200</v>
      </c>
      <c r="G19" s="12" t="s">
        <v>11</v>
      </c>
    </row>
    <row r="20" spans="1:7" x14ac:dyDescent="0.3">
      <c r="A20" s="4" t="s">
        <v>58</v>
      </c>
      <c r="B20" s="4" t="s">
        <v>59</v>
      </c>
      <c r="C20" s="4" t="s">
        <v>14</v>
      </c>
      <c r="D20" s="4" t="s">
        <v>15</v>
      </c>
      <c r="E20" s="5">
        <v>44317</v>
      </c>
      <c r="F20" s="6">
        <v>6450</v>
      </c>
      <c r="G20" s="12" t="s">
        <v>11</v>
      </c>
    </row>
    <row r="21" spans="1:7" x14ac:dyDescent="0.3">
      <c r="A21" s="4" t="s">
        <v>60</v>
      </c>
      <c r="B21" s="4" t="s">
        <v>61</v>
      </c>
      <c r="C21" s="4" t="s">
        <v>14</v>
      </c>
      <c r="D21" s="4" t="s">
        <v>62</v>
      </c>
      <c r="E21" s="5">
        <v>43827</v>
      </c>
      <c r="F21" s="6">
        <v>7600</v>
      </c>
      <c r="G21" s="12" t="s">
        <v>11</v>
      </c>
    </row>
    <row r="22" spans="1:7" x14ac:dyDescent="0.3">
      <c r="A22" s="4" t="s">
        <v>63</v>
      </c>
      <c r="B22" s="4" t="s">
        <v>64</v>
      </c>
      <c r="C22" s="4" t="s">
        <v>9</v>
      </c>
      <c r="D22" s="4" t="s">
        <v>34</v>
      </c>
      <c r="E22" s="5">
        <v>45120</v>
      </c>
      <c r="F22" s="6">
        <v>4500</v>
      </c>
      <c r="G22" s="12" t="s">
        <v>11</v>
      </c>
    </row>
    <row r="23" spans="1:7" x14ac:dyDescent="0.3">
      <c r="A23" s="4" t="s">
        <v>65</v>
      </c>
      <c r="B23" s="4" t="s">
        <v>66</v>
      </c>
      <c r="C23" s="4" t="s">
        <v>18</v>
      </c>
      <c r="D23" s="4" t="s">
        <v>57</v>
      </c>
      <c r="E23" s="5">
        <v>43205</v>
      </c>
      <c r="F23" s="6">
        <v>5000</v>
      </c>
      <c r="G23" s="12" t="s">
        <v>11</v>
      </c>
    </row>
    <row r="24" spans="1:7" x14ac:dyDescent="0.3">
      <c r="A24" s="4" t="s">
        <v>67</v>
      </c>
      <c r="B24" s="4" t="s">
        <v>68</v>
      </c>
      <c r="C24" s="4" t="s">
        <v>14</v>
      </c>
      <c r="D24" s="4" t="s">
        <v>15</v>
      </c>
      <c r="E24" s="5">
        <v>43119</v>
      </c>
      <c r="F24" s="6">
        <v>6450</v>
      </c>
      <c r="G24" s="12" t="s">
        <v>11</v>
      </c>
    </row>
    <row r="25" spans="1:7" x14ac:dyDescent="0.3">
      <c r="A25" s="4" t="s">
        <v>69</v>
      </c>
      <c r="B25" s="4" t="s">
        <v>70</v>
      </c>
      <c r="C25" s="4" t="s">
        <v>26</v>
      </c>
      <c r="D25" s="4" t="s">
        <v>39</v>
      </c>
      <c r="E25" s="5">
        <v>43210</v>
      </c>
      <c r="F25" s="6">
        <v>6700</v>
      </c>
      <c r="G25" s="12" t="s">
        <v>11</v>
      </c>
    </row>
    <row r="26" spans="1:7" x14ac:dyDescent="0.3">
      <c r="A26" s="4" t="s">
        <v>71</v>
      </c>
      <c r="B26" s="4" t="s">
        <v>72</v>
      </c>
      <c r="C26" s="4" t="s">
        <v>26</v>
      </c>
      <c r="D26" s="4" t="s">
        <v>27</v>
      </c>
      <c r="E26" s="5">
        <v>45326</v>
      </c>
      <c r="F26" s="6">
        <v>7050</v>
      </c>
      <c r="G26" s="12" t="s">
        <v>11</v>
      </c>
    </row>
    <row r="27" spans="1:7" x14ac:dyDescent="0.3">
      <c r="A27" s="4" t="s">
        <v>73</v>
      </c>
      <c r="B27" s="4" t="s">
        <v>74</v>
      </c>
      <c r="C27" s="4" t="s">
        <v>9</v>
      </c>
      <c r="D27" s="4" t="s">
        <v>34</v>
      </c>
      <c r="E27" s="5">
        <v>43163</v>
      </c>
      <c r="F27" s="6">
        <v>5250</v>
      </c>
      <c r="G27" s="12" t="s">
        <v>11</v>
      </c>
    </row>
    <row r="28" spans="1:7" x14ac:dyDescent="0.3">
      <c r="A28" s="4" t="s">
        <v>75</v>
      </c>
      <c r="B28" s="4" t="s">
        <v>76</v>
      </c>
      <c r="C28" s="4" t="s">
        <v>9</v>
      </c>
      <c r="D28" s="4" t="s">
        <v>10</v>
      </c>
      <c r="E28" s="5">
        <v>45664</v>
      </c>
      <c r="F28" s="6">
        <v>5850</v>
      </c>
      <c r="G28" s="12" t="s">
        <v>11</v>
      </c>
    </row>
    <row r="29" spans="1:7" x14ac:dyDescent="0.3">
      <c r="A29" s="4" t="s">
        <v>77</v>
      </c>
      <c r="B29" s="4" t="s">
        <v>78</v>
      </c>
      <c r="C29" s="4" t="s">
        <v>22</v>
      </c>
      <c r="D29" s="4" t="s">
        <v>23</v>
      </c>
      <c r="E29" s="5">
        <v>45798</v>
      </c>
      <c r="F29" s="6">
        <v>9250</v>
      </c>
      <c r="G29" s="12" t="s">
        <v>11</v>
      </c>
    </row>
    <row r="30" spans="1:7" x14ac:dyDescent="0.3">
      <c r="A30" s="4" t="s">
        <v>79</v>
      </c>
      <c r="B30" s="4" t="s">
        <v>80</v>
      </c>
      <c r="C30" s="4" t="s">
        <v>14</v>
      </c>
      <c r="D30" s="4" t="s">
        <v>62</v>
      </c>
      <c r="E30" s="5">
        <v>43641</v>
      </c>
      <c r="F30" s="6">
        <v>6700</v>
      </c>
      <c r="G30" s="12" t="s">
        <v>11</v>
      </c>
    </row>
    <row r="31" spans="1:7" x14ac:dyDescent="0.3">
      <c r="A31" s="4" t="s">
        <v>81</v>
      </c>
      <c r="B31" s="4" t="s">
        <v>82</v>
      </c>
      <c r="C31" s="4" t="s">
        <v>22</v>
      </c>
      <c r="D31" s="4" t="s">
        <v>23</v>
      </c>
      <c r="E31" s="5">
        <v>43948</v>
      </c>
      <c r="F31" s="6">
        <v>7750</v>
      </c>
      <c r="G31" s="12" t="s">
        <v>11</v>
      </c>
    </row>
    <row r="32" spans="1:7" x14ac:dyDescent="0.3">
      <c r="A32" s="4" t="s">
        <v>83</v>
      </c>
      <c r="B32" s="4" t="s">
        <v>84</v>
      </c>
      <c r="C32" s="4" t="s">
        <v>42</v>
      </c>
      <c r="D32" s="4" t="s">
        <v>43</v>
      </c>
      <c r="E32" s="5">
        <v>44896</v>
      </c>
      <c r="F32" s="6">
        <v>5050</v>
      </c>
      <c r="G32" s="12" t="s">
        <v>11</v>
      </c>
    </row>
    <row r="33" spans="1:7" x14ac:dyDescent="0.3">
      <c r="A33" s="4" t="s">
        <v>85</v>
      </c>
      <c r="B33" s="4" t="s">
        <v>86</v>
      </c>
      <c r="C33" s="4" t="s">
        <v>9</v>
      </c>
      <c r="D33" s="4" t="s">
        <v>34</v>
      </c>
      <c r="E33" s="5">
        <v>44185</v>
      </c>
      <c r="F33" s="6">
        <v>5300</v>
      </c>
      <c r="G33" s="12" t="s">
        <v>11</v>
      </c>
    </row>
    <row r="34" spans="1:7" x14ac:dyDescent="0.3">
      <c r="A34" s="4" t="s">
        <v>87</v>
      </c>
      <c r="B34" s="4" t="s">
        <v>88</v>
      </c>
      <c r="C34" s="4" t="s">
        <v>26</v>
      </c>
      <c r="D34" s="4" t="s">
        <v>39</v>
      </c>
      <c r="E34" s="5">
        <v>43869</v>
      </c>
      <c r="F34" s="6">
        <v>7000</v>
      </c>
      <c r="G34" s="12" t="s">
        <v>11</v>
      </c>
    </row>
    <row r="35" spans="1:7" x14ac:dyDescent="0.3">
      <c r="A35" s="4" t="s">
        <v>89</v>
      </c>
      <c r="B35" s="4" t="s">
        <v>90</v>
      </c>
      <c r="C35" s="4" t="s">
        <v>42</v>
      </c>
      <c r="D35" s="4" t="s">
        <v>43</v>
      </c>
      <c r="E35" s="5">
        <v>42968</v>
      </c>
      <c r="F35" s="6">
        <v>6100</v>
      </c>
      <c r="G35" s="12" t="s">
        <v>11</v>
      </c>
    </row>
    <row r="36" spans="1:7" x14ac:dyDescent="0.3">
      <c r="A36" s="4" t="s">
        <v>91</v>
      </c>
      <c r="B36" s="4" t="s">
        <v>92</v>
      </c>
      <c r="C36" s="4" t="s">
        <v>22</v>
      </c>
      <c r="D36" s="4" t="s">
        <v>23</v>
      </c>
      <c r="E36" s="5">
        <v>45285</v>
      </c>
      <c r="F36" s="6">
        <v>7100</v>
      </c>
      <c r="G36" s="12" t="s">
        <v>11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38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2" width="12" customWidth="1"/>
    <col min="3" max="4" width="10" customWidth="1"/>
    <col min="5" max="5" width="14" customWidth="1"/>
    <col min="6" max="6" width="12" customWidth="1"/>
    <col min="7" max="7" width="14" customWidth="1"/>
    <col min="8" max="8" width="15" customWidth="1"/>
  </cols>
  <sheetData>
    <row r="1" spans="1:8" ht="27.6" x14ac:dyDescent="0.3">
      <c r="A1" s="3" t="s">
        <v>0</v>
      </c>
      <c r="B1" s="3" t="s">
        <v>93</v>
      </c>
      <c r="C1" s="3" t="s">
        <v>94</v>
      </c>
      <c r="D1" s="3" t="s">
        <v>95</v>
      </c>
      <c r="E1" s="3" t="s">
        <v>96</v>
      </c>
      <c r="F1" s="3" t="s">
        <v>97</v>
      </c>
      <c r="G1" s="3" t="s">
        <v>98</v>
      </c>
      <c r="H1" s="3" t="s">
        <v>99</v>
      </c>
    </row>
    <row r="2" spans="1:8" x14ac:dyDescent="0.3">
      <c r="A2" s="4" t="s">
        <v>7</v>
      </c>
      <c r="B2" s="5">
        <v>46204</v>
      </c>
      <c r="C2" s="7">
        <v>0.32500000000000001</v>
      </c>
      <c r="D2" s="7">
        <v>0.76041666666666696</v>
      </c>
      <c r="E2" s="8">
        <f t="shared" ref="E2:E65" si="0">(D2-C2)*24</f>
        <v>10.450000000000006</v>
      </c>
      <c r="F2" s="8">
        <f t="shared" ref="F2:F65" si="1">IF(C2&gt;TIME(8,15,0),(C2-TIME(8,15,0))*1440,0)</f>
        <v>0</v>
      </c>
      <c r="G2" s="8">
        <f t="shared" ref="G2:G65" si="2">IF(D2&gt;TIME(17,0,0),(D2-TIME(17,0,0))*24,0)</f>
        <v>1.2500000000000062</v>
      </c>
      <c r="H2" s="4" t="str">
        <f t="shared" ref="H2:H65" si="3">IF(C2&gt;TIME(8,15,0),"Late","On Time")</f>
        <v>On Time</v>
      </c>
    </row>
    <row r="3" spans="1:8" x14ac:dyDescent="0.3">
      <c r="A3" s="4" t="s">
        <v>7</v>
      </c>
      <c r="B3" s="5">
        <v>46205</v>
      </c>
      <c r="C3" s="7">
        <v>0.32569444444444501</v>
      </c>
      <c r="D3" s="7">
        <v>0.70763888888888904</v>
      </c>
      <c r="E3" s="8">
        <f t="shared" si="0"/>
        <v>9.1666666666666572</v>
      </c>
      <c r="F3" s="8">
        <f t="shared" si="1"/>
        <v>0</v>
      </c>
      <c r="G3" s="8">
        <f t="shared" si="2"/>
        <v>0</v>
      </c>
      <c r="H3" s="4" t="str">
        <f t="shared" si="3"/>
        <v>On Time</v>
      </c>
    </row>
    <row r="4" spans="1:8" x14ac:dyDescent="0.3">
      <c r="A4" s="4" t="s">
        <v>7</v>
      </c>
      <c r="B4" s="5">
        <v>46206</v>
      </c>
      <c r="C4" s="7">
        <v>0.33472222222222198</v>
      </c>
      <c r="D4" s="7">
        <v>0.75694444444444398</v>
      </c>
      <c r="E4" s="8">
        <f t="shared" si="0"/>
        <v>10.133333333333328</v>
      </c>
      <c r="F4" s="8">
        <f t="shared" si="1"/>
        <v>0</v>
      </c>
      <c r="G4" s="8">
        <f t="shared" si="2"/>
        <v>1.1666666666666545</v>
      </c>
      <c r="H4" s="4" t="str">
        <f t="shared" si="3"/>
        <v>On Time</v>
      </c>
    </row>
    <row r="5" spans="1:8" x14ac:dyDescent="0.3">
      <c r="A5" s="4" t="s">
        <v>7</v>
      </c>
      <c r="B5" s="5">
        <v>46207</v>
      </c>
      <c r="C5" s="7">
        <v>0.34722222222222199</v>
      </c>
      <c r="D5" s="7">
        <v>0.70833333333333304</v>
      </c>
      <c r="E5" s="8">
        <f t="shared" si="0"/>
        <v>8.6666666666666643</v>
      </c>
      <c r="F5" s="8">
        <f t="shared" si="1"/>
        <v>4.9999999999996625</v>
      </c>
      <c r="G5" s="8">
        <f t="shared" si="2"/>
        <v>0</v>
      </c>
      <c r="H5" s="4" t="str">
        <f t="shared" si="3"/>
        <v>Late</v>
      </c>
    </row>
    <row r="6" spans="1:8" x14ac:dyDescent="0.3">
      <c r="A6" s="4" t="s">
        <v>7</v>
      </c>
      <c r="B6" s="5">
        <v>46208</v>
      </c>
      <c r="C6" s="7">
        <v>0.37986111111111098</v>
      </c>
      <c r="D6" s="7">
        <v>0.70347222222222205</v>
      </c>
      <c r="E6" s="8">
        <f t="shared" si="0"/>
        <v>7.7666666666666657</v>
      </c>
      <c r="F6" s="8">
        <f t="shared" si="1"/>
        <v>51.999999999999815</v>
      </c>
      <c r="G6" s="8">
        <f t="shared" si="2"/>
        <v>0</v>
      </c>
      <c r="H6" s="4" t="str">
        <f t="shared" si="3"/>
        <v>Late</v>
      </c>
    </row>
    <row r="7" spans="1:8" x14ac:dyDescent="0.3">
      <c r="A7" s="4" t="s">
        <v>7</v>
      </c>
      <c r="B7" s="5">
        <v>46209</v>
      </c>
      <c r="C7" s="7">
        <v>0.327777777777778</v>
      </c>
      <c r="D7" s="7">
        <v>0.69861111111111096</v>
      </c>
      <c r="E7" s="8">
        <f t="shared" si="0"/>
        <v>8.8999999999999915</v>
      </c>
      <c r="F7" s="8">
        <f t="shared" si="1"/>
        <v>0</v>
      </c>
      <c r="G7" s="8">
        <f t="shared" si="2"/>
        <v>0</v>
      </c>
      <c r="H7" s="4" t="str">
        <f t="shared" si="3"/>
        <v>On Time</v>
      </c>
    </row>
    <row r="8" spans="1:8" x14ac:dyDescent="0.3">
      <c r="A8" s="4" t="s">
        <v>7</v>
      </c>
      <c r="B8" s="5">
        <v>46210</v>
      </c>
      <c r="C8" s="7">
        <v>0.35625000000000001</v>
      </c>
      <c r="D8" s="7">
        <v>0.69930555555555596</v>
      </c>
      <c r="E8" s="8">
        <f t="shared" si="0"/>
        <v>8.2333333333333432</v>
      </c>
      <c r="F8" s="8">
        <f t="shared" si="1"/>
        <v>18.000000000000014</v>
      </c>
      <c r="G8" s="8">
        <f t="shared" si="2"/>
        <v>0</v>
      </c>
      <c r="H8" s="4" t="str">
        <f t="shared" si="3"/>
        <v>Late</v>
      </c>
    </row>
    <row r="9" spans="1:8" x14ac:dyDescent="0.3">
      <c r="A9" s="4" t="s">
        <v>7</v>
      </c>
      <c r="B9" s="5">
        <v>46211</v>
      </c>
      <c r="C9" s="7">
        <v>0.33333333333333298</v>
      </c>
      <c r="D9" s="7">
        <v>0.70347222222222205</v>
      </c>
      <c r="E9" s="8">
        <f t="shared" si="0"/>
        <v>8.8833333333333382</v>
      </c>
      <c r="F9" s="8">
        <f t="shared" si="1"/>
        <v>0</v>
      </c>
      <c r="G9" s="8">
        <f t="shared" si="2"/>
        <v>0</v>
      </c>
      <c r="H9" s="4" t="str">
        <f t="shared" si="3"/>
        <v>On Time</v>
      </c>
    </row>
    <row r="10" spans="1:8" x14ac:dyDescent="0.3">
      <c r="A10" s="4" t="s">
        <v>7</v>
      </c>
      <c r="B10" s="5">
        <v>46212</v>
      </c>
      <c r="C10" s="7">
        <v>0.32152777777777802</v>
      </c>
      <c r="D10" s="7">
        <v>0.70208333333333295</v>
      </c>
      <c r="E10" s="8">
        <f t="shared" si="0"/>
        <v>9.1333333333333186</v>
      </c>
      <c r="F10" s="8">
        <f t="shared" si="1"/>
        <v>0</v>
      </c>
      <c r="G10" s="8">
        <f t="shared" si="2"/>
        <v>0</v>
      </c>
      <c r="H10" s="4" t="str">
        <f t="shared" si="3"/>
        <v>On Time</v>
      </c>
    </row>
    <row r="11" spans="1:8" x14ac:dyDescent="0.3">
      <c r="A11" s="4" t="s">
        <v>7</v>
      </c>
      <c r="B11" s="5">
        <v>46213</v>
      </c>
      <c r="C11" s="7">
        <v>0.34236111111111101</v>
      </c>
      <c r="D11" s="7">
        <v>0.70555555555555605</v>
      </c>
      <c r="E11" s="8">
        <f t="shared" si="0"/>
        <v>8.716666666666681</v>
      </c>
      <c r="F11" s="8">
        <f t="shared" si="1"/>
        <v>0</v>
      </c>
      <c r="G11" s="8">
        <f t="shared" si="2"/>
        <v>0</v>
      </c>
      <c r="H11" s="4" t="str">
        <f t="shared" si="3"/>
        <v>On Time</v>
      </c>
    </row>
    <row r="12" spans="1:8" x14ac:dyDescent="0.3">
      <c r="A12" s="4" t="s">
        <v>12</v>
      </c>
      <c r="B12" s="5">
        <v>46204</v>
      </c>
      <c r="C12" s="7">
        <v>0.32430555555555601</v>
      </c>
      <c r="D12" s="7">
        <v>0.70138888888888895</v>
      </c>
      <c r="E12" s="8">
        <f t="shared" si="0"/>
        <v>9.0499999999999901</v>
      </c>
      <c r="F12" s="8">
        <f t="shared" si="1"/>
        <v>0</v>
      </c>
      <c r="G12" s="8">
        <f t="shared" si="2"/>
        <v>0</v>
      </c>
      <c r="H12" s="4" t="str">
        <f t="shared" si="3"/>
        <v>On Time</v>
      </c>
    </row>
    <row r="13" spans="1:8" x14ac:dyDescent="0.3">
      <c r="A13" s="4" t="s">
        <v>12</v>
      </c>
      <c r="B13" s="5">
        <v>46205</v>
      </c>
      <c r="C13" s="7">
        <v>0.34236111111111101</v>
      </c>
      <c r="D13" s="7">
        <v>0.69652777777777797</v>
      </c>
      <c r="E13" s="8">
        <f t="shared" si="0"/>
        <v>8.5000000000000071</v>
      </c>
      <c r="F13" s="8">
        <f t="shared" si="1"/>
        <v>0</v>
      </c>
      <c r="G13" s="8">
        <f t="shared" si="2"/>
        <v>0</v>
      </c>
      <c r="H13" s="4" t="str">
        <f t="shared" si="3"/>
        <v>On Time</v>
      </c>
    </row>
    <row r="14" spans="1:8" x14ac:dyDescent="0.3">
      <c r="A14" s="4" t="s">
        <v>12</v>
      </c>
      <c r="B14" s="5">
        <v>46206</v>
      </c>
      <c r="C14" s="7">
        <v>0.32152777777777802</v>
      </c>
      <c r="D14" s="7">
        <v>0.73263888888888895</v>
      </c>
      <c r="E14" s="8">
        <f t="shared" si="0"/>
        <v>9.8666666666666618</v>
      </c>
      <c r="F14" s="8">
        <f t="shared" si="1"/>
        <v>0</v>
      </c>
      <c r="G14" s="8">
        <f t="shared" si="2"/>
        <v>0.58333333333333393</v>
      </c>
      <c r="H14" s="4" t="str">
        <f t="shared" si="3"/>
        <v>On Time</v>
      </c>
    </row>
    <row r="15" spans="1:8" x14ac:dyDescent="0.3">
      <c r="A15" s="4" t="s">
        <v>12</v>
      </c>
      <c r="B15" s="5">
        <v>46207</v>
      </c>
      <c r="C15" s="7">
        <v>0.35138888888888897</v>
      </c>
      <c r="D15" s="7">
        <v>0.70625000000000004</v>
      </c>
      <c r="E15" s="8">
        <f t="shared" si="0"/>
        <v>8.5166666666666657</v>
      </c>
      <c r="F15" s="8">
        <f t="shared" si="1"/>
        <v>11.000000000000121</v>
      </c>
      <c r="G15" s="8">
        <f t="shared" si="2"/>
        <v>0</v>
      </c>
      <c r="H15" s="4" t="str">
        <f t="shared" si="3"/>
        <v>Late</v>
      </c>
    </row>
    <row r="16" spans="1:8" x14ac:dyDescent="0.3">
      <c r="A16" s="4" t="s">
        <v>12</v>
      </c>
      <c r="B16" s="5">
        <v>46208</v>
      </c>
      <c r="C16" s="7">
        <v>0.38680555555555601</v>
      </c>
      <c r="D16" s="7">
        <v>0.70416666666666705</v>
      </c>
      <c r="E16" s="8">
        <f t="shared" si="0"/>
        <v>7.6166666666666654</v>
      </c>
      <c r="F16" s="8">
        <f t="shared" si="1"/>
        <v>62.000000000000661</v>
      </c>
      <c r="G16" s="8">
        <f t="shared" si="2"/>
        <v>0</v>
      </c>
      <c r="H16" s="4" t="str">
        <f t="shared" si="3"/>
        <v>Late</v>
      </c>
    </row>
    <row r="17" spans="1:8" x14ac:dyDescent="0.3">
      <c r="A17" s="4" t="s">
        <v>12</v>
      </c>
      <c r="B17" s="5">
        <v>46209</v>
      </c>
      <c r="C17" s="7">
        <v>0.34166666666666701</v>
      </c>
      <c r="D17" s="7">
        <v>0.69861111111111096</v>
      </c>
      <c r="E17" s="8">
        <f t="shared" si="0"/>
        <v>8.5666666666666558</v>
      </c>
      <c r="F17" s="8">
        <f t="shared" si="1"/>
        <v>0</v>
      </c>
      <c r="G17" s="8">
        <f t="shared" si="2"/>
        <v>0</v>
      </c>
      <c r="H17" s="4" t="str">
        <f t="shared" si="3"/>
        <v>On Time</v>
      </c>
    </row>
    <row r="18" spans="1:8" x14ac:dyDescent="0.3">
      <c r="A18" s="4" t="s">
        <v>12</v>
      </c>
      <c r="B18" s="5">
        <v>46210</v>
      </c>
      <c r="C18" s="7">
        <v>0.33888888888888902</v>
      </c>
      <c r="D18" s="7">
        <v>0.70486111111111105</v>
      </c>
      <c r="E18" s="8">
        <f t="shared" si="0"/>
        <v>8.7833333333333279</v>
      </c>
      <c r="F18" s="8">
        <f t="shared" si="1"/>
        <v>0</v>
      </c>
      <c r="G18" s="8">
        <f t="shared" si="2"/>
        <v>0</v>
      </c>
      <c r="H18" s="4" t="str">
        <f t="shared" si="3"/>
        <v>On Time</v>
      </c>
    </row>
    <row r="19" spans="1:8" x14ac:dyDescent="0.3">
      <c r="A19" s="4" t="s">
        <v>12</v>
      </c>
      <c r="B19" s="5">
        <v>46211</v>
      </c>
      <c r="C19" s="7">
        <v>0.32986111111111099</v>
      </c>
      <c r="D19" s="7">
        <v>0.7</v>
      </c>
      <c r="E19" s="8">
        <f t="shared" si="0"/>
        <v>8.8833333333333346</v>
      </c>
      <c r="F19" s="8">
        <f t="shared" si="1"/>
        <v>0</v>
      </c>
      <c r="G19" s="8">
        <f t="shared" si="2"/>
        <v>0</v>
      </c>
      <c r="H19" s="4" t="str">
        <f t="shared" si="3"/>
        <v>On Time</v>
      </c>
    </row>
    <row r="20" spans="1:8" x14ac:dyDescent="0.3">
      <c r="A20" s="4" t="s">
        <v>12</v>
      </c>
      <c r="B20" s="5">
        <v>46212</v>
      </c>
      <c r="C20" s="7">
        <v>0.327777777777778</v>
      </c>
      <c r="D20" s="7">
        <v>0.69722222222222197</v>
      </c>
      <c r="E20" s="8">
        <f t="shared" si="0"/>
        <v>8.8666666666666547</v>
      </c>
      <c r="F20" s="8">
        <f t="shared" si="1"/>
        <v>0</v>
      </c>
      <c r="G20" s="8">
        <f t="shared" si="2"/>
        <v>0</v>
      </c>
      <c r="H20" s="4" t="str">
        <f t="shared" si="3"/>
        <v>On Time</v>
      </c>
    </row>
    <row r="21" spans="1:8" x14ac:dyDescent="0.3">
      <c r="A21" s="4" t="s">
        <v>12</v>
      </c>
      <c r="B21" s="5">
        <v>46213</v>
      </c>
      <c r="C21" s="7">
        <v>0.33680555555555602</v>
      </c>
      <c r="D21" s="7">
        <v>0.69583333333333297</v>
      </c>
      <c r="E21" s="8">
        <f t="shared" si="0"/>
        <v>8.6166666666666458</v>
      </c>
      <c r="F21" s="8">
        <f t="shared" si="1"/>
        <v>0</v>
      </c>
      <c r="G21" s="8">
        <f t="shared" si="2"/>
        <v>0</v>
      </c>
      <c r="H21" s="4" t="str">
        <f t="shared" si="3"/>
        <v>On Time</v>
      </c>
    </row>
    <row r="22" spans="1:8" x14ac:dyDescent="0.3">
      <c r="A22" s="4" t="s">
        <v>16</v>
      </c>
      <c r="B22" s="5">
        <v>46204</v>
      </c>
      <c r="C22" s="7">
        <v>0.38611111111111102</v>
      </c>
      <c r="D22" s="7">
        <v>0.749305555555556</v>
      </c>
      <c r="E22" s="8">
        <f t="shared" si="0"/>
        <v>8.7166666666666792</v>
      </c>
      <c r="F22" s="8">
        <f t="shared" si="1"/>
        <v>60.999999999999865</v>
      </c>
      <c r="G22" s="8">
        <f t="shared" si="2"/>
        <v>0.98333333333334316</v>
      </c>
      <c r="H22" s="4" t="str">
        <f t="shared" si="3"/>
        <v>Late</v>
      </c>
    </row>
    <row r="23" spans="1:8" x14ac:dyDescent="0.3">
      <c r="A23" s="4" t="s">
        <v>16</v>
      </c>
      <c r="B23" s="5">
        <v>46205</v>
      </c>
      <c r="C23" s="7">
        <v>0.32361111111111102</v>
      </c>
      <c r="D23" s="7">
        <v>0.70486111111111105</v>
      </c>
      <c r="E23" s="8">
        <f t="shared" si="0"/>
        <v>9.15</v>
      </c>
      <c r="F23" s="8">
        <f t="shared" si="1"/>
        <v>0</v>
      </c>
      <c r="G23" s="8">
        <f t="shared" si="2"/>
        <v>0</v>
      </c>
      <c r="H23" s="4" t="str">
        <f t="shared" si="3"/>
        <v>On Time</v>
      </c>
    </row>
    <row r="24" spans="1:8" x14ac:dyDescent="0.3">
      <c r="A24" s="4" t="s">
        <v>16</v>
      </c>
      <c r="B24" s="5">
        <v>46206</v>
      </c>
      <c r="C24" s="7">
        <v>0.329166666666667</v>
      </c>
      <c r="D24" s="7">
        <v>0.74652777777777801</v>
      </c>
      <c r="E24" s="8">
        <f t="shared" si="0"/>
        <v>10.016666666666664</v>
      </c>
      <c r="F24" s="8">
        <f t="shared" si="1"/>
        <v>0</v>
      </c>
      <c r="G24" s="8">
        <f t="shared" si="2"/>
        <v>0.9166666666666714</v>
      </c>
      <c r="H24" s="4" t="str">
        <f t="shared" si="3"/>
        <v>On Time</v>
      </c>
    </row>
    <row r="25" spans="1:8" x14ac:dyDescent="0.3">
      <c r="A25" s="4" t="s">
        <v>16</v>
      </c>
      <c r="B25" s="5">
        <v>46207</v>
      </c>
      <c r="C25" s="7">
        <v>0.33680555555555602</v>
      </c>
      <c r="D25" s="7">
        <v>0.69861111111111096</v>
      </c>
      <c r="E25" s="8">
        <f t="shared" si="0"/>
        <v>8.6833333333333194</v>
      </c>
      <c r="F25" s="8">
        <f t="shared" si="1"/>
        <v>0</v>
      </c>
      <c r="G25" s="8">
        <f t="shared" si="2"/>
        <v>0</v>
      </c>
      <c r="H25" s="4" t="str">
        <f t="shared" si="3"/>
        <v>On Time</v>
      </c>
    </row>
    <row r="26" spans="1:8" x14ac:dyDescent="0.3">
      <c r="A26" s="4" t="s">
        <v>16</v>
      </c>
      <c r="B26" s="5">
        <v>46209</v>
      </c>
      <c r="C26" s="7">
        <v>0.32291666666666702</v>
      </c>
      <c r="D26" s="7">
        <v>0.69444444444444398</v>
      </c>
      <c r="E26" s="8">
        <f t="shared" si="0"/>
        <v>8.9166666666666465</v>
      </c>
      <c r="F26" s="8">
        <f t="shared" si="1"/>
        <v>0</v>
      </c>
      <c r="G26" s="8">
        <f t="shared" si="2"/>
        <v>0</v>
      </c>
      <c r="H26" s="4" t="str">
        <f t="shared" si="3"/>
        <v>On Time</v>
      </c>
    </row>
    <row r="27" spans="1:8" x14ac:dyDescent="0.3">
      <c r="A27" s="4" t="s">
        <v>16</v>
      </c>
      <c r="B27" s="5">
        <v>46210</v>
      </c>
      <c r="C27" s="7">
        <v>0.33958333333333302</v>
      </c>
      <c r="D27" s="7">
        <v>0.69444444444444398</v>
      </c>
      <c r="E27" s="8">
        <f t="shared" si="0"/>
        <v>8.5166666666666622</v>
      </c>
      <c r="F27" s="8">
        <f t="shared" si="1"/>
        <v>0</v>
      </c>
      <c r="G27" s="8">
        <f t="shared" si="2"/>
        <v>0</v>
      </c>
      <c r="H27" s="4" t="str">
        <f t="shared" si="3"/>
        <v>On Time</v>
      </c>
    </row>
    <row r="28" spans="1:8" x14ac:dyDescent="0.3">
      <c r="A28" s="4" t="s">
        <v>16</v>
      </c>
      <c r="B28" s="5">
        <v>46211</v>
      </c>
      <c r="C28" s="7">
        <v>0.34236111111111101</v>
      </c>
      <c r="D28" s="7">
        <v>0.70555555555555605</v>
      </c>
      <c r="E28" s="8">
        <f t="shared" si="0"/>
        <v>8.716666666666681</v>
      </c>
      <c r="F28" s="8">
        <f t="shared" si="1"/>
        <v>0</v>
      </c>
      <c r="G28" s="8">
        <f t="shared" si="2"/>
        <v>0</v>
      </c>
      <c r="H28" s="4" t="str">
        <f t="shared" si="3"/>
        <v>On Time</v>
      </c>
    </row>
    <row r="29" spans="1:8" x14ac:dyDescent="0.3">
      <c r="A29" s="4" t="s">
        <v>16</v>
      </c>
      <c r="B29" s="5">
        <v>46212</v>
      </c>
      <c r="C29" s="7">
        <v>0.32430555555555601</v>
      </c>
      <c r="D29" s="7">
        <v>0.69930555555555596</v>
      </c>
      <c r="E29" s="8">
        <f t="shared" si="0"/>
        <v>8.9999999999999982</v>
      </c>
      <c r="F29" s="8">
        <f t="shared" si="1"/>
        <v>0</v>
      </c>
      <c r="G29" s="8">
        <f t="shared" si="2"/>
        <v>0</v>
      </c>
      <c r="H29" s="4" t="str">
        <f t="shared" si="3"/>
        <v>On Time</v>
      </c>
    </row>
    <row r="30" spans="1:8" x14ac:dyDescent="0.3">
      <c r="A30" s="4" t="s">
        <v>16</v>
      </c>
      <c r="B30" s="5">
        <v>46213</v>
      </c>
      <c r="C30" s="7">
        <v>0.32361111111111102</v>
      </c>
      <c r="D30" s="7">
        <v>0.73194444444444395</v>
      </c>
      <c r="E30" s="8">
        <f t="shared" si="0"/>
        <v>9.7999999999999901</v>
      </c>
      <c r="F30" s="8">
        <f t="shared" si="1"/>
        <v>0</v>
      </c>
      <c r="G30" s="8">
        <f t="shared" si="2"/>
        <v>0.566666666666654</v>
      </c>
      <c r="H30" s="4" t="str">
        <f t="shared" si="3"/>
        <v>On Time</v>
      </c>
    </row>
    <row r="31" spans="1:8" x14ac:dyDescent="0.3">
      <c r="A31" s="4" t="s">
        <v>20</v>
      </c>
      <c r="B31" s="5">
        <v>46204</v>
      </c>
      <c r="C31" s="7">
        <v>0.34930555555555598</v>
      </c>
      <c r="D31" s="7">
        <v>0.69791666666666696</v>
      </c>
      <c r="E31" s="8">
        <f t="shared" si="0"/>
        <v>8.3666666666666636</v>
      </c>
      <c r="F31" s="8">
        <f t="shared" si="1"/>
        <v>8.0000000000006111</v>
      </c>
      <c r="G31" s="8">
        <f t="shared" si="2"/>
        <v>0</v>
      </c>
      <c r="H31" s="4" t="str">
        <f t="shared" si="3"/>
        <v>Late</v>
      </c>
    </row>
    <row r="32" spans="1:8" x14ac:dyDescent="0.3">
      <c r="A32" s="4" t="s">
        <v>20</v>
      </c>
      <c r="B32" s="5">
        <v>46205</v>
      </c>
      <c r="C32" s="7">
        <v>0.32222222222222202</v>
      </c>
      <c r="D32" s="7">
        <v>0.69444444444444398</v>
      </c>
      <c r="E32" s="8">
        <f t="shared" si="0"/>
        <v>8.9333333333333265</v>
      </c>
      <c r="F32" s="8">
        <f t="shared" si="1"/>
        <v>0</v>
      </c>
      <c r="G32" s="8">
        <f t="shared" si="2"/>
        <v>0</v>
      </c>
      <c r="H32" s="4" t="str">
        <f t="shared" si="3"/>
        <v>On Time</v>
      </c>
    </row>
    <row r="33" spans="1:8" x14ac:dyDescent="0.3">
      <c r="A33" s="4" t="s">
        <v>20</v>
      </c>
      <c r="B33" s="5">
        <v>46206</v>
      </c>
      <c r="C33" s="7">
        <v>0.33055555555555599</v>
      </c>
      <c r="D33" s="7">
        <v>0.78402777777777799</v>
      </c>
      <c r="E33" s="8">
        <f t="shared" si="0"/>
        <v>10.883333333333328</v>
      </c>
      <c r="F33" s="8">
        <f t="shared" si="1"/>
        <v>0</v>
      </c>
      <c r="G33" s="8">
        <f t="shared" si="2"/>
        <v>1.8166666666666709</v>
      </c>
      <c r="H33" s="4" t="str">
        <f t="shared" si="3"/>
        <v>On Time</v>
      </c>
    </row>
    <row r="34" spans="1:8" x14ac:dyDescent="0.3">
      <c r="A34" s="4" t="s">
        <v>20</v>
      </c>
      <c r="B34" s="5">
        <v>46207</v>
      </c>
      <c r="C34" s="7">
        <v>0.33055555555555599</v>
      </c>
      <c r="D34" s="7">
        <v>0.70416666666666705</v>
      </c>
      <c r="E34" s="8">
        <f t="shared" si="0"/>
        <v>8.966666666666665</v>
      </c>
      <c r="F34" s="8">
        <f t="shared" si="1"/>
        <v>0</v>
      </c>
      <c r="G34" s="8">
        <f t="shared" si="2"/>
        <v>0</v>
      </c>
      <c r="H34" s="4" t="str">
        <f t="shared" si="3"/>
        <v>On Time</v>
      </c>
    </row>
    <row r="35" spans="1:8" x14ac:dyDescent="0.3">
      <c r="A35" s="4" t="s">
        <v>20</v>
      </c>
      <c r="B35" s="5">
        <v>46208</v>
      </c>
      <c r="C35" s="7">
        <v>0.37152777777777801</v>
      </c>
      <c r="D35" s="7">
        <v>0.7</v>
      </c>
      <c r="E35" s="8">
        <f t="shared" si="0"/>
        <v>7.8833333333333266</v>
      </c>
      <c r="F35" s="8">
        <f t="shared" si="1"/>
        <v>40.000000000000341</v>
      </c>
      <c r="G35" s="8">
        <f t="shared" si="2"/>
        <v>0</v>
      </c>
      <c r="H35" s="4" t="str">
        <f t="shared" si="3"/>
        <v>Late</v>
      </c>
    </row>
    <row r="36" spans="1:8" x14ac:dyDescent="0.3">
      <c r="A36" s="4" t="s">
        <v>20</v>
      </c>
      <c r="B36" s="5">
        <v>46209</v>
      </c>
      <c r="C36" s="7">
        <v>0.32083333333333303</v>
      </c>
      <c r="D36" s="7">
        <v>0.69930555555555596</v>
      </c>
      <c r="E36" s="8">
        <f t="shared" si="0"/>
        <v>9.0833333333333499</v>
      </c>
      <c r="F36" s="8">
        <f t="shared" si="1"/>
        <v>0</v>
      </c>
      <c r="G36" s="8">
        <f t="shared" si="2"/>
        <v>0</v>
      </c>
      <c r="H36" s="4" t="str">
        <f t="shared" si="3"/>
        <v>On Time</v>
      </c>
    </row>
    <row r="37" spans="1:8" x14ac:dyDescent="0.3">
      <c r="A37" s="4" t="s">
        <v>20</v>
      </c>
      <c r="B37" s="5">
        <v>46210</v>
      </c>
      <c r="C37" s="7">
        <v>0.32638888888888901</v>
      </c>
      <c r="D37" s="7">
        <v>0.69791666666666696</v>
      </c>
      <c r="E37" s="8">
        <f t="shared" si="0"/>
        <v>8.9166666666666714</v>
      </c>
      <c r="F37" s="8">
        <f t="shared" si="1"/>
        <v>0</v>
      </c>
      <c r="G37" s="8">
        <f t="shared" si="2"/>
        <v>0</v>
      </c>
      <c r="H37" s="4" t="str">
        <f t="shared" si="3"/>
        <v>On Time</v>
      </c>
    </row>
    <row r="38" spans="1:8" x14ac:dyDescent="0.3">
      <c r="A38" s="4" t="s">
        <v>20</v>
      </c>
      <c r="B38" s="5">
        <v>46211</v>
      </c>
      <c r="C38" s="7">
        <v>0.33263888888888898</v>
      </c>
      <c r="D38" s="7">
        <v>0.70555555555555605</v>
      </c>
      <c r="E38" s="8">
        <f t="shared" si="0"/>
        <v>8.9500000000000099</v>
      </c>
      <c r="F38" s="8">
        <f t="shared" si="1"/>
        <v>0</v>
      </c>
      <c r="G38" s="8">
        <f t="shared" si="2"/>
        <v>0</v>
      </c>
      <c r="H38" s="4" t="str">
        <f t="shared" si="3"/>
        <v>On Time</v>
      </c>
    </row>
    <row r="39" spans="1:8" x14ac:dyDescent="0.3">
      <c r="A39" s="4" t="s">
        <v>20</v>
      </c>
      <c r="B39" s="5">
        <v>46212</v>
      </c>
      <c r="C39" s="7">
        <v>0.33194444444444399</v>
      </c>
      <c r="D39" s="7">
        <v>0.69791666666666696</v>
      </c>
      <c r="E39" s="8">
        <f t="shared" si="0"/>
        <v>8.783333333333351</v>
      </c>
      <c r="F39" s="8">
        <f t="shared" si="1"/>
        <v>0</v>
      </c>
      <c r="G39" s="8">
        <f t="shared" si="2"/>
        <v>0</v>
      </c>
      <c r="H39" s="4" t="str">
        <f t="shared" si="3"/>
        <v>On Time</v>
      </c>
    </row>
    <row r="40" spans="1:8" x14ac:dyDescent="0.3">
      <c r="A40" s="4" t="s">
        <v>20</v>
      </c>
      <c r="B40" s="5">
        <v>46213</v>
      </c>
      <c r="C40" s="7">
        <v>0.32013888888888897</v>
      </c>
      <c r="D40" s="7">
        <v>0.69513888888888897</v>
      </c>
      <c r="E40" s="8">
        <f t="shared" si="0"/>
        <v>9</v>
      </c>
      <c r="F40" s="8">
        <f t="shared" si="1"/>
        <v>0</v>
      </c>
      <c r="G40" s="8">
        <f t="shared" si="2"/>
        <v>0</v>
      </c>
      <c r="H40" s="4" t="str">
        <f t="shared" si="3"/>
        <v>On Time</v>
      </c>
    </row>
    <row r="41" spans="1:8" x14ac:dyDescent="0.3">
      <c r="A41" s="4" t="s">
        <v>24</v>
      </c>
      <c r="B41" s="5">
        <v>46204</v>
      </c>
      <c r="C41" s="7">
        <v>0.33680555555555602</v>
      </c>
      <c r="D41" s="7">
        <v>0.70069444444444395</v>
      </c>
      <c r="E41" s="8">
        <f t="shared" si="0"/>
        <v>8.7333333333333094</v>
      </c>
      <c r="F41" s="8">
        <f t="shared" si="1"/>
        <v>0</v>
      </c>
      <c r="G41" s="8">
        <f t="shared" si="2"/>
        <v>0</v>
      </c>
      <c r="H41" s="4" t="str">
        <f t="shared" si="3"/>
        <v>On Time</v>
      </c>
    </row>
    <row r="42" spans="1:8" x14ac:dyDescent="0.3">
      <c r="A42" s="4" t="s">
        <v>24</v>
      </c>
      <c r="B42" s="5">
        <v>46205</v>
      </c>
      <c r="C42" s="7">
        <v>0.329166666666667</v>
      </c>
      <c r="D42" s="7">
        <v>0.70833333333333304</v>
      </c>
      <c r="E42" s="8">
        <f t="shared" si="0"/>
        <v>9.0999999999999854</v>
      </c>
      <c r="F42" s="8">
        <f t="shared" si="1"/>
        <v>0</v>
      </c>
      <c r="G42" s="8">
        <f t="shared" si="2"/>
        <v>0</v>
      </c>
      <c r="H42" s="4" t="str">
        <f t="shared" si="3"/>
        <v>On Time</v>
      </c>
    </row>
    <row r="43" spans="1:8" x14ac:dyDescent="0.3">
      <c r="A43" s="4" t="s">
        <v>24</v>
      </c>
      <c r="B43" s="5">
        <v>46206</v>
      </c>
      <c r="C43" s="7">
        <v>0.36249999999999999</v>
      </c>
      <c r="D43" s="7">
        <v>0.69722222222222197</v>
      </c>
      <c r="E43" s="8">
        <f t="shared" si="0"/>
        <v>8.0333333333333279</v>
      </c>
      <c r="F43" s="8">
        <f t="shared" si="1"/>
        <v>26.999999999999986</v>
      </c>
      <c r="G43" s="8">
        <f t="shared" si="2"/>
        <v>0</v>
      </c>
      <c r="H43" s="4" t="str">
        <f t="shared" si="3"/>
        <v>Late</v>
      </c>
    </row>
    <row r="44" spans="1:8" x14ac:dyDescent="0.3">
      <c r="A44" s="4" t="s">
        <v>24</v>
      </c>
      <c r="B44" s="5">
        <v>46207</v>
      </c>
      <c r="C44" s="7">
        <v>0.375</v>
      </c>
      <c r="D44" s="7">
        <v>0.7</v>
      </c>
      <c r="E44" s="8">
        <f t="shared" si="0"/>
        <v>7.7999999999999989</v>
      </c>
      <c r="F44" s="8">
        <f t="shared" si="1"/>
        <v>45</v>
      </c>
      <c r="G44" s="8">
        <f t="shared" si="2"/>
        <v>0</v>
      </c>
      <c r="H44" s="4" t="str">
        <f t="shared" si="3"/>
        <v>Late</v>
      </c>
    </row>
    <row r="45" spans="1:8" x14ac:dyDescent="0.3">
      <c r="A45" s="4" t="s">
        <v>24</v>
      </c>
      <c r="B45" s="5">
        <v>46208</v>
      </c>
      <c r="C45" s="7">
        <v>0.32152777777777802</v>
      </c>
      <c r="D45" s="7">
        <v>0.78263888888888899</v>
      </c>
      <c r="E45" s="8">
        <f t="shared" si="0"/>
        <v>11.066666666666663</v>
      </c>
      <c r="F45" s="8">
        <f t="shared" si="1"/>
        <v>0</v>
      </c>
      <c r="G45" s="8">
        <f t="shared" si="2"/>
        <v>1.783333333333335</v>
      </c>
      <c r="H45" s="4" t="str">
        <f t="shared" si="3"/>
        <v>On Time</v>
      </c>
    </row>
    <row r="46" spans="1:8" x14ac:dyDescent="0.3">
      <c r="A46" s="4" t="s">
        <v>24</v>
      </c>
      <c r="B46" s="5">
        <v>46209</v>
      </c>
      <c r="C46" s="7">
        <v>0.34166666666666701</v>
      </c>
      <c r="D46" s="7">
        <v>0.70069444444444395</v>
      </c>
      <c r="E46" s="8">
        <f t="shared" si="0"/>
        <v>8.6166666666666458</v>
      </c>
      <c r="F46" s="8">
        <f t="shared" si="1"/>
        <v>0</v>
      </c>
      <c r="G46" s="8">
        <f t="shared" si="2"/>
        <v>0</v>
      </c>
      <c r="H46" s="4" t="str">
        <f t="shared" si="3"/>
        <v>On Time</v>
      </c>
    </row>
    <row r="47" spans="1:8" x14ac:dyDescent="0.3">
      <c r="A47" s="4" t="s">
        <v>24</v>
      </c>
      <c r="B47" s="5">
        <v>46210</v>
      </c>
      <c r="C47" s="7">
        <v>0.33194444444444399</v>
      </c>
      <c r="D47" s="7">
        <v>0.72430555555555598</v>
      </c>
      <c r="E47" s="8">
        <f t="shared" si="0"/>
        <v>9.4166666666666874</v>
      </c>
      <c r="F47" s="8">
        <f t="shared" si="1"/>
        <v>0</v>
      </c>
      <c r="G47" s="8">
        <f t="shared" si="2"/>
        <v>0.38333333333334263</v>
      </c>
      <c r="H47" s="4" t="str">
        <f t="shared" si="3"/>
        <v>On Time</v>
      </c>
    </row>
    <row r="48" spans="1:8" x14ac:dyDescent="0.3">
      <c r="A48" s="4" t="s">
        <v>24</v>
      </c>
      <c r="B48" s="5">
        <v>46211</v>
      </c>
      <c r="C48" s="7">
        <v>0.33888888888888902</v>
      </c>
      <c r="D48" s="7">
        <v>0.74027777777777803</v>
      </c>
      <c r="E48" s="8">
        <f t="shared" si="0"/>
        <v>9.6333333333333364</v>
      </c>
      <c r="F48" s="8">
        <f t="shared" si="1"/>
        <v>0</v>
      </c>
      <c r="G48" s="8">
        <f t="shared" si="2"/>
        <v>0.76666666666667194</v>
      </c>
      <c r="H48" s="4" t="str">
        <f t="shared" si="3"/>
        <v>On Time</v>
      </c>
    </row>
    <row r="49" spans="1:8" x14ac:dyDescent="0.3">
      <c r="A49" s="4" t="s">
        <v>24</v>
      </c>
      <c r="B49" s="5">
        <v>46212</v>
      </c>
      <c r="C49" s="7">
        <v>0.34375</v>
      </c>
      <c r="D49" s="7">
        <v>0.69513888888888897</v>
      </c>
      <c r="E49" s="8">
        <f t="shared" si="0"/>
        <v>8.4333333333333353</v>
      </c>
      <c r="F49" s="8">
        <f t="shared" si="1"/>
        <v>0</v>
      </c>
      <c r="G49" s="8">
        <f t="shared" si="2"/>
        <v>0</v>
      </c>
      <c r="H49" s="4" t="str">
        <f t="shared" si="3"/>
        <v>On Time</v>
      </c>
    </row>
    <row r="50" spans="1:8" x14ac:dyDescent="0.3">
      <c r="A50" s="4" t="s">
        <v>24</v>
      </c>
      <c r="B50" s="5">
        <v>46213</v>
      </c>
      <c r="C50" s="7">
        <v>0.33263888888888898</v>
      </c>
      <c r="D50" s="7">
        <v>0.72430555555555598</v>
      </c>
      <c r="E50" s="8">
        <f t="shared" si="0"/>
        <v>9.4000000000000075</v>
      </c>
      <c r="F50" s="8">
        <f t="shared" si="1"/>
        <v>0</v>
      </c>
      <c r="G50" s="8">
        <f t="shared" si="2"/>
        <v>0.38333333333334263</v>
      </c>
      <c r="H50" s="4" t="str">
        <f t="shared" si="3"/>
        <v>On Time</v>
      </c>
    </row>
    <row r="51" spans="1:8" x14ac:dyDescent="0.3">
      <c r="A51" s="4" t="s">
        <v>28</v>
      </c>
      <c r="B51" s="5">
        <v>46204</v>
      </c>
      <c r="C51" s="7">
        <v>0.32291666666666702</v>
      </c>
      <c r="D51" s="7">
        <v>0.76041666666666696</v>
      </c>
      <c r="E51" s="8">
        <f t="shared" si="0"/>
        <v>10.499999999999998</v>
      </c>
      <c r="F51" s="8">
        <f t="shared" si="1"/>
        <v>0</v>
      </c>
      <c r="G51" s="8">
        <f t="shared" si="2"/>
        <v>1.2500000000000062</v>
      </c>
      <c r="H51" s="4" t="str">
        <f t="shared" si="3"/>
        <v>On Time</v>
      </c>
    </row>
    <row r="52" spans="1:8" x14ac:dyDescent="0.3">
      <c r="A52" s="4" t="s">
        <v>28</v>
      </c>
      <c r="B52" s="5">
        <v>46205</v>
      </c>
      <c r="C52" s="7">
        <v>0.34791666666666698</v>
      </c>
      <c r="D52" s="7">
        <v>0.70833333333333304</v>
      </c>
      <c r="E52" s="8">
        <f t="shared" si="0"/>
        <v>8.6499999999999844</v>
      </c>
      <c r="F52" s="8">
        <f t="shared" si="1"/>
        <v>6.0000000000004583</v>
      </c>
      <c r="G52" s="8">
        <f t="shared" si="2"/>
        <v>0</v>
      </c>
      <c r="H52" s="4" t="str">
        <f t="shared" si="3"/>
        <v>Late</v>
      </c>
    </row>
    <row r="53" spans="1:8" x14ac:dyDescent="0.3">
      <c r="A53" s="4" t="s">
        <v>28</v>
      </c>
      <c r="B53" s="5">
        <v>46206</v>
      </c>
      <c r="C53" s="7">
        <v>0.34236111111111101</v>
      </c>
      <c r="D53" s="7">
        <v>0.69722222222222197</v>
      </c>
      <c r="E53" s="8">
        <f t="shared" si="0"/>
        <v>8.5166666666666622</v>
      </c>
      <c r="F53" s="8">
        <f t="shared" si="1"/>
        <v>0</v>
      </c>
      <c r="G53" s="8">
        <f t="shared" si="2"/>
        <v>0</v>
      </c>
      <c r="H53" s="4" t="str">
        <f t="shared" si="3"/>
        <v>On Time</v>
      </c>
    </row>
    <row r="54" spans="1:8" x14ac:dyDescent="0.3">
      <c r="A54" s="4" t="s">
        <v>28</v>
      </c>
      <c r="B54" s="5">
        <v>46207</v>
      </c>
      <c r="C54" s="7">
        <v>0.33611111111111103</v>
      </c>
      <c r="D54" s="7">
        <v>0.70486111111111105</v>
      </c>
      <c r="E54" s="8">
        <f t="shared" si="0"/>
        <v>8.8500000000000014</v>
      </c>
      <c r="F54" s="8">
        <f t="shared" si="1"/>
        <v>0</v>
      </c>
      <c r="G54" s="8">
        <f t="shared" si="2"/>
        <v>0</v>
      </c>
      <c r="H54" s="4" t="str">
        <f t="shared" si="3"/>
        <v>On Time</v>
      </c>
    </row>
    <row r="55" spans="1:8" x14ac:dyDescent="0.3">
      <c r="A55" s="4" t="s">
        <v>28</v>
      </c>
      <c r="B55" s="5">
        <v>46208</v>
      </c>
      <c r="C55" s="7">
        <v>0.37916666666666698</v>
      </c>
      <c r="D55" s="7">
        <v>0.69722222222222197</v>
      </c>
      <c r="E55" s="8">
        <f t="shared" si="0"/>
        <v>7.6333333333333195</v>
      </c>
      <c r="F55" s="8">
        <f t="shared" si="1"/>
        <v>51.000000000000455</v>
      </c>
      <c r="G55" s="8">
        <f t="shared" si="2"/>
        <v>0</v>
      </c>
      <c r="H55" s="4" t="str">
        <f t="shared" si="3"/>
        <v>Late</v>
      </c>
    </row>
    <row r="56" spans="1:8" x14ac:dyDescent="0.3">
      <c r="A56" s="4" t="s">
        <v>28</v>
      </c>
      <c r="B56" s="5">
        <v>46209</v>
      </c>
      <c r="C56" s="7">
        <v>0.38402777777777802</v>
      </c>
      <c r="D56" s="7">
        <v>0.70555555555555605</v>
      </c>
      <c r="E56" s="8">
        <f t="shared" si="0"/>
        <v>7.7166666666666721</v>
      </c>
      <c r="F56" s="8">
        <f t="shared" si="1"/>
        <v>58.000000000000355</v>
      </c>
      <c r="G56" s="8">
        <f t="shared" si="2"/>
        <v>0</v>
      </c>
      <c r="H56" s="4" t="str">
        <f t="shared" si="3"/>
        <v>Late</v>
      </c>
    </row>
    <row r="57" spans="1:8" x14ac:dyDescent="0.3">
      <c r="A57" s="4" t="s">
        <v>28</v>
      </c>
      <c r="B57" s="5">
        <v>46210</v>
      </c>
      <c r="C57" s="7">
        <v>0.34166666666666701</v>
      </c>
      <c r="D57" s="7">
        <v>0.75486111111111098</v>
      </c>
      <c r="E57" s="8">
        <f t="shared" si="0"/>
        <v>9.9166666666666554</v>
      </c>
      <c r="F57" s="8">
        <f t="shared" si="1"/>
        <v>0</v>
      </c>
      <c r="G57" s="8">
        <f t="shared" si="2"/>
        <v>1.1166666666666627</v>
      </c>
      <c r="H57" s="4" t="str">
        <f t="shared" si="3"/>
        <v>On Time</v>
      </c>
    </row>
    <row r="58" spans="1:8" x14ac:dyDescent="0.3">
      <c r="A58" s="4" t="s">
        <v>28</v>
      </c>
      <c r="B58" s="5">
        <v>46211</v>
      </c>
      <c r="C58" s="7">
        <v>0.32013888888888897</v>
      </c>
      <c r="D58" s="7">
        <v>0.70694444444444504</v>
      </c>
      <c r="E58" s="8">
        <f t="shared" si="0"/>
        <v>9.2833333333333456</v>
      </c>
      <c r="F58" s="8">
        <f t="shared" si="1"/>
        <v>0</v>
      </c>
      <c r="G58" s="8">
        <f t="shared" si="2"/>
        <v>0</v>
      </c>
      <c r="H58" s="4" t="str">
        <f t="shared" si="3"/>
        <v>On Time</v>
      </c>
    </row>
    <row r="59" spans="1:8" x14ac:dyDescent="0.3">
      <c r="A59" s="4" t="s">
        <v>28</v>
      </c>
      <c r="B59" s="5">
        <v>46212</v>
      </c>
      <c r="C59" s="7">
        <v>0.329166666666667</v>
      </c>
      <c r="D59" s="7">
        <v>0.71180555555555602</v>
      </c>
      <c r="E59" s="8">
        <f t="shared" si="0"/>
        <v>9.1833333333333371</v>
      </c>
      <c r="F59" s="8">
        <f t="shared" si="1"/>
        <v>0</v>
      </c>
      <c r="G59" s="8">
        <f t="shared" si="2"/>
        <v>8.3333333333343695E-2</v>
      </c>
      <c r="H59" s="4" t="str">
        <f t="shared" si="3"/>
        <v>On Time</v>
      </c>
    </row>
    <row r="60" spans="1:8" x14ac:dyDescent="0.3">
      <c r="A60" s="4" t="s">
        <v>28</v>
      </c>
      <c r="B60" s="5">
        <v>46213</v>
      </c>
      <c r="C60" s="7">
        <v>0.36319444444444399</v>
      </c>
      <c r="D60" s="7">
        <v>0.70277777777777795</v>
      </c>
      <c r="E60" s="8">
        <f t="shared" si="0"/>
        <v>8.1500000000000146</v>
      </c>
      <c r="F60" s="8">
        <f t="shared" si="1"/>
        <v>27.999999999999339</v>
      </c>
      <c r="G60" s="8">
        <f t="shared" si="2"/>
        <v>0</v>
      </c>
      <c r="H60" s="4" t="str">
        <f t="shared" si="3"/>
        <v>Late</v>
      </c>
    </row>
    <row r="61" spans="1:8" x14ac:dyDescent="0.3">
      <c r="A61" s="4" t="s">
        <v>30</v>
      </c>
      <c r="B61" s="5">
        <v>46204</v>
      </c>
      <c r="C61" s="7">
        <v>0.32222222222222202</v>
      </c>
      <c r="D61" s="7">
        <v>0.70555555555555605</v>
      </c>
      <c r="E61" s="8">
        <f t="shared" si="0"/>
        <v>9.2000000000000171</v>
      </c>
      <c r="F61" s="8">
        <f t="shared" si="1"/>
        <v>0</v>
      </c>
      <c r="G61" s="8">
        <f t="shared" si="2"/>
        <v>0</v>
      </c>
      <c r="H61" s="4" t="str">
        <f t="shared" si="3"/>
        <v>On Time</v>
      </c>
    </row>
    <row r="62" spans="1:8" x14ac:dyDescent="0.3">
      <c r="A62" s="4" t="s">
        <v>30</v>
      </c>
      <c r="B62" s="5">
        <v>46205</v>
      </c>
      <c r="C62" s="7">
        <v>0.32291666666666702</v>
      </c>
      <c r="D62" s="7">
        <v>0.69583333333333297</v>
      </c>
      <c r="E62" s="8">
        <f t="shared" si="0"/>
        <v>8.9499999999999833</v>
      </c>
      <c r="F62" s="8">
        <f t="shared" si="1"/>
        <v>0</v>
      </c>
      <c r="G62" s="8">
        <f t="shared" si="2"/>
        <v>0</v>
      </c>
      <c r="H62" s="4" t="str">
        <f t="shared" si="3"/>
        <v>On Time</v>
      </c>
    </row>
    <row r="63" spans="1:8" x14ac:dyDescent="0.3">
      <c r="A63" s="4" t="s">
        <v>30</v>
      </c>
      <c r="B63" s="5">
        <v>46207</v>
      </c>
      <c r="C63" s="7">
        <v>0.34027777777777801</v>
      </c>
      <c r="D63" s="7">
        <v>0.69583333333333297</v>
      </c>
      <c r="E63" s="8">
        <f t="shared" si="0"/>
        <v>8.533333333333319</v>
      </c>
      <c r="F63" s="8">
        <f t="shared" si="1"/>
        <v>0</v>
      </c>
      <c r="G63" s="8">
        <f t="shared" si="2"/>
        <v>0</v>
      </c>
      <c r="H63" s="4" t="str">
        <f t="shared" si="3"/>
        <v>On Time</v>
      </c>
    </row>
    <row r="64" spans="1:8" x14ac:dyDescent="0.3">
      <c r="A64" s="4" t="s">
        <v>30</v>
      </c>
      <c r="B64" s="5">
        <v>46208</v>
      </c>
      <c r="C64" s="7">
        <v>0.32986111111111099</v>
      </c>
      <c r="D64" s="7">
        <v>0.69861111111111096</v>
      </c>
      <c r="E64" s="8">
        <f t="shared" si="0"/>
        <v>8.85</v>
      </c>
      <c r="F64" s="8">
        <f t="shared" si="1"/>
        <v>0</v>
      </c>
      <c r="G64" s="8">
        <f t="shared" si="2"/>
        <v>0</v>
      </c>
      <c r="H64" s="4" t="str">
        <f t="shared" si="3"/>
        <v>On Time</v>
      </c>
    </row>
    <row r="65" spans="1:8" x14ac:dyDescent="0.3">
      <c r="A65" s="4" t="s">
        <v>30</v>
      </c>
      <c r="B65" s="5">
        <v>46209</v>
      </c>
      <c r="C65" s="7">
        <v>0.33958333333333302</v>
      </c>
      <c r="D65" s="7">
        <v>0.70277777777777795</v>
      </c>
      <c r="E65" s="8">
        <f t="shared" si="0"/>
        <v>8.7166666666666792</v>
      </c>
      <c r="F65" s="8">
        <f t="shared" si="1"/>
        <v>0</v>
      </c>
      <c r="G65" s="8">
        <f t="shared" si="2"/>
        <v>0</v>
      </c>
      <c r="H65" s="4" t="str">
        <f t="shared" si="3"/>
        <v>On Time</v>
      </c>
    </row>
    <row r="66" spans="1:8" x14ac:dyDescent="0.3">
      <c r="A66" s="4" t="s">
        <v>30</v>
      </c>
      <c r="B66" s="5">
        <v>46210</v>
      </c>
      <c r="C66" s="7">
        <v>0.38750000000000001</v>
      </c>
      <c r="D66" s="7">
        <v>0.69513888888888897</v>
      </c>
      <c r="E66" s="8">
        <f t="shared" ref="E66:E129" si="4">(D66-C66)*24</f>
        <v>7.3833333333333346</v>
      </c>
      <c r="F66" s="8">
        <f t="shared" ref="F66:F129" si="5">IF(C66&gt;TIME(8,15,0),(C66-TIME(8,15,0))*1440,0)</f>
        <v>63.000000000000014</v>
      </c>
      <c r="G66" s="8">
        <f t="shared" ref="G66:G129" si="6">IF(D66&gt;TIME(17,0,0),(D66-TIME(17,0,0))*24,0)</f>
        <v>0</v>
      </c>
      <c r="H66" s="4" t="str">
        <f t="shared" ref="H66:H129" si="7">IF(C66&gt;TIME(8,15,0),"Late","On Time")</f>
        <v>Late</v>
      </c>
    </row>
    <row r="67" spans="1:8" x14ac:dyDescent="0.3">
      <c r="A67" s="4" t="s">
        <v>30</v>
      </c>
      <c r="B67" s="5">
        <v>46211</v>
      </c>
      <c r="C67" s="7">
        <v>0.327777777777778</v>
      </c>
      <c r="D67" s="7">
        <v>0.72083333333333299</v>
      </c>
      <c r="E67" s="8">
        <f t="shared" si="4"/>
        <v>9.4333333333333194</v>
      </c>
      <c r="F67" s="8">
        <f t="shared" si="5"/>
        <v>0</v>
      </c>
      <c r="G67" s="8">
        <f t="shared" si="6"/>
        <v>0.29999999999999094</v>
      </c>
      <c r="H67" s="4" t="str">
        <f t="shared" si="7"/>
        <v>On Time</v>
      </c>
    </row>
    <row r="68" spans="1:8" x14ac:dyDescent="0.3">
      <c r="A68" s="4" t="s">
        <v>30</v>
      </c>
      <c r="B68" s="5">
        <v>46212</v>
      </c>
      <c r="C68" s="7">
        <v>0.33263888888888898</v>
      </c>
      <c r="D68" s="7">
        <v>0.69722222222222197</v>
      </c>
      <c r="E68" s="8">
        <f t="shared" si="4"/>
        <v>8.7499999999999911</v>
      </c>
      <c r="F68" s="8">
        <f t="shared" si="5"/>
        <v>0</v>
      </c>
      <c r="G68" s="8">
        <f t="shared" si="6"/>
        <v>0</v>
      </c>
      <c r="H68" s="4" t="str">
        <f t="shared" si="7"/>
        <v>On Time</v>
      </c>
    </row>
    <row r="69" spans="1:8" x14ac:dyDescent="0.3">
      <c r="A69" s="4" t="s">
        <v>30</v>
      </c>
      <c r="B69" s="5">
        <v>46213</v>
      </c>
      <c r="C69" s="7">
        <v>0.34930555555555598</v>
      </c>
      <c r="D69" s="7">
        <v>0.69652777777777797</v>
      </c>
      <c r="E69" s="8">
        <f t="shared" si="4"/>
        <v>8.3333333333333286</v>
      </c>
      <c r="F69" s="8">
        <f t="shared" si="5"/>
        <v>8.0000000000006111</v>
      </c>
      <c r="G69" s="8">
        <f t="shared" si="6"/>
        <v>0</v>
      </c>
      <c r="H69" s="4" t="str">
        <f t="shared" si="7"/>
        <v>Late</v>
      </c>
    </row>
    <row r="70" spans="1:8" x14ac:dyDescent="0.3">
      <c r="A70" s="4" t="s">
        <v>32</v>
      </c>
      <c r="B70" s="5">
        <v>46204</v>
      </c>
      <c r="C70" s="7">
        <v>0.32291666666666702</v>
      </c>
      <c r="D70" s="7">
        <v>0.69444444444444398</v>
      </c>
      <c r="E70" s="8">
        <f t="shared" si="4"/>
        <v>8.9166666666666465</v>
      </c>
      <c r="F70" s="8">
        <f t="shared" si="5"/>
        <v>0</v>
      </c>
      <c r="G70" s="8">
        <f t="shared" si="6"/>
        <v>0</v>
      </c>
      <c r="H70" s="4" t="str">
        <f t="shared" si="7"/>
        <v>On Time</v>
      </c>
    </row>
    <row r="71" spans="1:8" x14ac:dyDescent="0.3">
      <c r="A71" s="4" t="s">
        <v>32</v>
      </c>
      <c r="B71" s="5">
        <v>46206</v>
      </c>
      <c r="C71" s="7">
        <v>0.32222222222222202</v>
      </c>
      <c r="D71" s="7">
        <v>0.70416666666666705</v>
      </c>
      <c r="E71" s="8">
        <f t="shared" si="4"/>
        <v>9.1666666666666803</v>
      </c>
      <c r="F71" s="8">
        <f t="shared" si="5"/>
        <v>0</v>
      </c>
      <c r="G71" s="8">
        <f t="shared" si="6"/>
        <v>0</v>
      </c>
      <c r="H71" s="4" t="str">
        <f t="shared" si="7"/>
        <v>On Time</v>
      </c>
    </row>
    <row r="72" spans="1:8" x14ac:dyDescent="0.3">
      <c r="A72" s="4" t="s">
        <v>32</v>
      </c>
      <c r="B72" s="5">
        <v>46207</v>
      </c>
      <c r="C72" s="7">
        <v>0.33611111111111103</v>
      </c>
      <c r="D72" s="7">
        <v>0.79097222222222197</v>
      </c>
      <c r="E72" s="8">
        <f t="shared" si="4"/>
        <v>10.916666666666663</v>
      </c>
      <c r="F72" s="8">
        <f t="shared" si="5"/>
        <v>0</v>
      </c>
      <c r="G72" s="8">
        <f t="shared" si="6"/>
        <v>1.9833333333333263</v>
      </c>
      <c r="H72" s="4" t="str">
        <f t="shared" si="7"/>
        <v>On Time</v>
      </c>
    </row>
    <row r="73" spans="1:8" x14ac:dyDescent="0.3">
      <c r="A73" s="4" t="s">
        <v>32</v>
      </c>
      <c r="B73" s="5">
        <v>46208</v>
      </c>
      <c r="C73" s="7">
        <v>0.32291666666666702</v>
      </c>
      <c r="D73" s="7">
        <v>0.75486111111111098</v>
      </c>
      <c r="E73" s="8">
        <f t="shared" si="4"/>
        <v>10.366666666666655</v>
      </c>
      <c r="F73" s="8">
        <f t="shared" si="5"/>
        <v>0</v>
      </c>
      <c r="G73" s="8">
        <f t="shared" si="6"/>
        <v>1.1166666666666627</v>
      </c>
      <c r="H73" s="4" t="str">
        <f t="shared" si="7"/>
        <v>On Time</v>
      </c>
    </row>
    <row r="74" spans="1:8" x14ac:dyDescent="0.3">
      <c r="A74" s="4" t="s">
        <v>32</v>
      </c>
      <c r="B74" s="5">
        <v>46209</v>
      </c>
      <c r="C74" s="7">
        <v>0.33541666666666697</v>
      </c>
      <c r="D74" s="7">
        <v>0.780555555555556</v>
      </c>
      <c r="E74" s="8">
        <f t="shared" si="4"/>
        <v>10.683333333333337</v>
      </c>
      <c r="F74" s="8">
        <f t="shared" si="5"/>
        <v>0</v>
      </c>
      <c r="G74" s="8">
        <f t="shared" si="6"/>
        <v>1.7333333333333432</v>
      </c>
      <c r="H74" s="4" t="str">
        <f t="shared" si="7"/>
        <v>On Time</v>
      </c>
    </row>
    <row r="75" spans="1:8" x14ac:dyDescent="0.3">
      <c r="A75" s="4" t="s">
        <v>32</v>
      </c>
      <c r="B75" s="5">
        <v>46210</v>
      </c>
      <c r="C75" s="7">
        <v>0.33124999999999999</v>
      </c>
      <c r="D75" s="7">
        <v>0.70208333333333295</v>
      </c>
      <c r="E75" s="8">
        <f t="shared" si="4"/>
        <v>8.8999999999999915</v>
      </c>
      <c r="F75" s="8">
        <f t="shared" si="5"/>
        <v>0</v>
      </c>
      <c r="G75" s="8">
        <f t="shared" si="6"/>
        <v>0</v>
      </c>
      <c r="H75" s="4" t="str">
        <f t="shared" si="7"/>
        <v>On Time</v>
      </c>
    </row>
    <row r="76" spans="1:8" x14ac:dyDescent="0.3">
      <c r="A76" s="4" t="s">
        <v>32</v>
      </c>
      <c r="B76" s="5">
        <v>46211</v>
      </c>
      <c r="C76" s="7">
        <v>0.34097222222222201</v>
      </c>
      <c r="D76" s="7">
        <v>0.69791666666666696</v>
      </c>
      <c r="E76" s="8">
        <f t="shared" si="4"/>
        <v>8.5666666666666789</v>
      </c>
      <c r="F76" s="8">
        <f t="shared" si="5"/>
        <v>0</v>
      </c>
      <c r="G76" s="8">
        <f t="shared" si="6"/>
        <v>0</v>
      </c>
      <c r="H76" s="4" t="str">
        <f t="shared" si="7"/>
        <v>On Time</v>
      </c>
    </row>
    <row r="77" spans="1:8" x14ac:dyDescent="0.3">
      <c r="A77" s="4" t="s">
        <v>32</v>
      </c>
      <c r="B77" s="5">
        <v>46212</v>
      </c>
      <c r="C77" s="7">
        <v>0.36875000000000002</v>
      </c>
      <c r="D77" s="7">
        <v>0.70277777777777795</v>
      </c>
      <c r="E77" s="8">
        <f t="shared" si="4"/>
        <v>8.0166666666666693</v>
      </c>
      <c r="F77" s="8">
        <f t="shared" si="5"/>
        <v>36.000000000000028</v>
      </c>
      <c r="G77" s="8">
        <f t="shared" si="6"/>
        <v>0</v>
      </c>
      <c r="H77" s="4" t="str">
        <f t="shared" si="7"/>
        <v>Late</v>
      </c>
    </row>
    <row r="78" spans="1:8" x14ac:dyDescent="0.3">
      <c r="A78" s="4" t="s">
        <v>32</v>
      </c>
      <c r="B78" s="5">
        <v>46213</v>
      </c>
      <c r="C78" s="7">
        <v>0.32569444444444501</v>
      </c>
      <c r="D78" s="7">
        <v>0.70277777777777795</v>
      </c>
      <c r="E78" s="8">
        <f t="shared" si="4"/>
        <v>9.0499999999999901</v>
      </c>
      <c r="F78" s="8">
        <f t="shared" si="5"/>
        <v>0</v>
      </c>
      <c r="G78" s="8">
        <f t="shared" si="6"/>
        <v>0</v>
      </c>
      <c r="H78" s="4" t="str">
        <f t="shared" si="7"/>
        <v>On Time</v>
      </c>
    </row>
    <row r="79" spans="1:8" x14ac:dyDescent="0.3">
      <c r="A79" s="4" t="s">
        <v>35</v>
      </c>
      <c r="B79" s="5">
        <v>46204</v>
      </c>
      <c r="C79" s="7">
        <v>0.32222222222222202</v>
      </c>
      <c r="D79" s="7">
        <v>0.70694444444444504</v>
      </c>
      <c r="E79" s="8">
        <f t="shared" si="4"/>
        <v>9.233333333333352</v>
      </c>
      <c r="F79" s="8">
        <f t="shared" si="5"/>
        <v>0</v>
      </c>
      <c r="G79" s="8">
        <f t="shared" si="6"/>
        <v>0</v>
      </c>
      <c r="H79" s="4" t="str">
        <f t="shared" si="7"/>
        <v>On Time</v>
      </c>
    </row>
    <row r="80" spans="1:8" x14ac:dyDescent="0.3">
      <c r="A80" s="4" t="s">
        <v>35</v>
      </c>
      <c r="B80" s="5">
        <v>46205</v>
      </c>
      <c r="C80" s="7">
        <v>0.38819444444444501</v>
      </c>
      <c r="D80" s="7">
        <v>0.7</v>
      </c>
      <c r="E80" s="8">
        <f t="shared" si="4"/>
        <v>7.4833333333333183</v>
      </c>
      <c r="F80" s="8">
        <f t="shared" si="5"/>
        <v>64.00000000000081</v>
      </c>
      <c r="G80" s="8">
        <f t="shared" si="6"/>
        <v>0</v>
      </c>
      <c r="H80" s="4" t="str">
        <f t="shared" si="7"/>
        <v>Late</v>
      </c>
    </row>
    <row r="81" spans="1:8" x14ac:dyDescent="0.3">
      <c r="A81" s="4" t="s">
        <v>35</v>
      </c>
      <c r="B81" s="5">
        <v>46206</v>
      </c>
      <c r="C81" s="7">
        <v>0.33124999999999999</v>
      </c>
      <c r="D81" s="7">
        <v>0.781944444444444</v>
      </c>
      <c r="E81" s="8">
        <f t="shared" si="4"/>
        <v>10.816666666666656</v>
      </c>
      <c r="F81" s="8">
        <f t="shared" si="5"/>
        <v>0</v>
      </c>
      <c r="G81" s="8">
        <f t="shared" si="6"/>
        <v>1.7666666666666551</v>
      </c>
      <c r="H81" s="4" t="str">
        <f t="shared" si="7"/>
        <v>On Time</v>
      </c>
    </row>
    <row r="82" spans="1:8" x14ac:dyDescent="0.3">
      <c r="A82" s="4" t="s">
        <v>35</v>
      </c>
      <c r="B82" s="5">
        <v>46207</v>
      </c>
      <c r="C82" s="7">
        <v>0.32569444444444501</v>
      </c>
      <c r="D82" s="7">
        <v>0.73194444444444395</v>
      </c>
      <c r="E82" s="8">
        <f t="shared" si="4"/>
        <v>9.7499999999999751</v>
      </c>
      <c r="F82" s="8">
        <f t="shared" si="5"/>
        <v>0</v>
      </c>
      <c r="G82" s="8">
        <f t="shared" si="6"/>
        <v>0.566666666666654</v>
      </c>
      <c r="H82" s="4" t="str">
        <f t="shared" si="7"/>
        <v>On Time</v>
      </c>
    </row>
    <row r="83" spans="1:8" x14ac:dyDescent="0.3">
      <c r="A83" s="4" t="s">
        <v>35</v>
      </c>
      <c r="B83" s="5">
        <v>46208</v>
      </c>
      <c r="C83" s="7">
        <v>0.33333333333333298</v>
      </c>
      <c r="D83" s="7">
        <v>0.74097222222222203</v>
      </c>
      <c r="E83" s="8">
        <f t="shared" si="4"/>
        <v>9.7833333333333368</v>
      </c>
      <c r="F83" s="8">
        <f t="shared" si="5"/>
        <v>0</v>
      </c>
      <c r="G83" s="8">
        <f t="shared" si="6"/>
        <v>0.78333333333332789</v>
      </c>
      <c r="H83" s="4" t="str">
        <f t="shared" si="7"/>
        <v>On Time</v>
      </c>
    </row>
    <row r="84" spans="1:8" x14ac:dyDescent="0.3">
      <c r="A84" s="4" t="s">
        <v>35</v>
      </c>
      <c r="B84" s="5">
        <v>46209</v>
      </c>
      <c r="C84" s="7">
        <v>0.33819444444444502</v>
      </c>
      <c r="D84" s="7">
        <v>0.70833333333333304</v>
      </c>
      <c r="E84" s="8">
        <f t="shared" si="4"/>
        <v>8.8833333333333115</v>
      </c>
      <c r="F84" s="8">
        <f t="shared" si="5"/>
        <v>0</v>
      </c>
      <c r="G84" s="8">
        <f t="shared" si="6"/>
        <v>0</v>
      </c>
      <c r="H84" s="4" t="str">
        <f t="shared" si="7"/>
        <v>On Time</v>
      </c>
    </row>
    <row r="85" spans="1:8" x14ac:dyDescent="0.3">
      <c r="A85" s="4" t="s">
        <v>35</v>
      </c>
      <c r="B85" s="5">
        <v>46210</v>
      </c>
      <c r="C85" s="7">
        <v>0.34375</v>
      </c>
      <c r="D85" s="7">
        <v>0.69583333333333297</v>
      </c>
      <c r="E85" s="8">
        <f t="shared" si="4"/>
        <v>8.4499999999999922</v>
      </c>
      <c r="F85" s="8">
        <f t="shared" si="5"/>
        <v>0</v>
      </c>
      <c r="G85" s="8">
        <f t="shared" si="6"/>
        <v>0</v>
      </c>
      <c r="H85" s="4" t="str">
        <f t="shared" si="7"/>
        <v>On Time</v>
      </c>
    </row>
    <row r="86" spans="1:8" x14ac:dyDescent="0.3">
      <c r="A86" s="4" t="s">
        <v>35</v>
      </c>
      <c r="B86" s="5">
        <v>46211</v>
      </c>
      <c r="C86" s="7">
        <v>0.37916666666666698</v>
      </c>
      <c r="D86" s="7">
        <v>0.70763888888888904</v>
      </c>
      <c r="E86" s="8">
        <f t="shared" si="4"/>
        <v>7.8833333333333293</v>
      </c>
      <c r="F86" s="8">
        <f t="shared" si="5"/>
        <v>51.000000000000455</v>
      </c>
      <c r="G86" s="8">
        <f t="shared" si="6"/>
        <v>0</v>
      </c>
      <c r="H86" s="4" t="str">
        <f t="shared" si="7"/>
        <v>Late</v>
      </c>
    </row>
    <row r="87" spans="1:8" x14ac:dyDescent="0.3">
      <c r="A87" s="4" t="s">
        <v>35</v>
      </c>
      <c r="B87" s="5">
        <v>46212</v>
      </c>
      <c r="C87" s="7">
        <v>0.33194444444444399</v>
      </c>
      <c r="D87" s="7">
        <v>0.70625000000000004</v>
      </c>
      <c r="E87" s="8">
        <f t="shared" si="4"/>
        <v>8.9833333333333449</v>
      </c>
      <c r="F87" s="8">
        <f t="shared" si="5"/>
        <v>0</v>
      </c>
      <c r="G87" s="8">
        <f t="shared" si="6"/>
        <v>0</v>
      </c>
      <c r="H87" s="4" t="str">
        <f t="shared" si="7"/>
        <v>On Time</v>
      </c>
    </row>
    <row r="88" spans="1:8" x14ac:dyDescent="0.3">
      <c r="A88" s="4" t="s">
        <v>35</v>
      </c>
      <c r="B88" s="5">
        <v>46213</v>
      </c>
      <c r="C88" s="7">
        <v>0.36805555555555602</v>
      </c>
      <c r="D88" s="7">
        <v>0.70069444444444395</v>
      </c>
      <c r="E88" s="8">
        <f t="shared" si="4"/>
        <v>7.9833333333333103</v>
      </c>
      <c r="F88" s="8">
        <f t="shared" si="5"/>
        <v>35.000000000000675</v>
      </c>
      <c r="G88" s="8">
        <f t="shared" si="6"/>
        <v>0</v>
      </c>
      <c r="H88" s="4" t="str">
        <f t="shared" si="7"/>
        <v>Late</v>
      </c>
    </row>
    <row r="89" spans="1:8" x14ac:dyDescent="0.3">
      <c r="A89" s="4" t="s">
        <v>37</v>
      </c>
      <c r="B89" s="5">
        <v>46204</v>
      </c>
      <c r="C89" s="7">
        <v>0.36944444444444502</v>
      </c>
      <c r="D89" s="7">
        <v>0.70486111111111105</v>
      </c>
      <c r="E89" s="8">
        <f t="shared" si="4"/>
        <v>8.0499999999999847</v>
      </c>
      <c r="F89" s="8">
        <f t="shared" si="5"/>
        <v>37.000000000000824</v>
      </c>
      <c r="G89" s="8">
        <f t="shared" si="6"/>
        <v>0</v>
      </c>
      <c r="H89" s="4" t="str">
        <f t="shared" si="7"/>
        <v>Late</v>
      </c>
    </row>
    <row r="90" spans="1:8" x14ac:dyDescent="0.3">
      <c r="A90" s="4" t="s">
        <v>37</v>
      </c>
      <c r="B90" s="5">
        <v>46205</v>
      </c>
      <c r="C90" s="7">
        <v>0.33888888888888902</v>
      </c>
      <c r="D90" s="7">
        <v>0.70416666666666705</v>
      </c>
      <c r="E90" s="8">
        <f t="shared" si="4"/>
        <v>8.7666666666666728</v>
      </c>
      <c r="F90" s="8">
        <f t="shared" si="5"/>
        <v>0</v>
      </c>
      <c r="G90" s="8">
        <f t="shared" si="6"/>
        <v>0</v>
      </c>
      <c r="H90" s="4" t="str">
        <f t="shared" si="7"/>
        <v>On Time</v>
      </c>
    </row>
    <row r="91" spans="1:8" x14ac:dyDescent="0.3">
      <c r="A91" s="4" t="s">
        <v>37</v>
      </c>
      <c r="B91" s="5">
        <v>46206</v>
      </c>
      <c r="C91" s="7">
        <v>0.34375</v>
      </c>
      <c r="D91" s="7">
        <v>0.71597222222222201</v>
      </c>
      <c r="E91" s="8">
        <f t="shared" si="4"/>
        <v>8.9333333333333282</v>
      </c>
      <c r="F91" s="8">
        <f t="shared" si="5"/>
        <v>0</v>
      </c>
      <c r="G91" s="8">
        <f t="shared" si="6"/>
        <v>0.18333333333332735</v>
      </c>
      <c r="H91" s="4" t="str">
        <f t="shared" si="7"/>
        <v>On Time</v>
      </c>
    </row>
    <row r="92" spans="1:8" x14ac:dyDescent="0.3">
      <c r="A92" s="4" t="s">
        <v>37</v>
      </c>
      <c r="B92" s="5">
        <v>46207</v>
      </c>
      <c r="C92" s="7">
        <v>0.34375</v>
      </c>
      <c r="D92" s="7">
        <v>0.72916666666666696</v>
      </c>
      <c r="E92" s="8">
        <f t="shared" si="4"/>
        <v>9.2500000000000071</v>
      </c>
      <c r="F92" s="8">
        <f t="shared" si="5"/>
        <v>0</v>
      </c>
      <c r="G92" s="8">
        <f t="shared" si="6"/>
        <v>0.50000000000000622</v>
      </c>
      <c r="H92" s="4" t="str">
        <f t="shared" si="7"/>
        <v>On Time</v>
      </c>
    </row>
    <row r="93" spans="1:8" x14ac:dyDescent="0.3">
      <c r="A93" s="4" t="s">
        <v>37</v>
      </c>
      <c r="B93" s="5">
        <v>46208</v>
      </c>
      <c r="C93" s="7">
        <v>0.327777777777778</v>
      </c>
      <c r="D93" s="7">
        <v>0.70347222222222205</v>
      </c>
      <c r="E93" s="8">
        <f t="shared" si="4"/>
        <v>9.0166666666666568</v>
      </c>
      <c r="F93" s="8">
        <f t="shared" si="5"/>
        <v>0</v>
      </c>
      <c r="G93" s="8">
        <f t="shared" si="6"/>
        <v>0</v>
      </c>
      <c r="H93" s="4" t="str">
        <f t="shared" si="7"/>
        <v>On Time</v>
      </c>
    </row>
    <row r="94" spans="1:8" x14ac:dyDescent="0.3">
      <c r="A94" s="4" t="s">
        <v>37</v>
      </c>
      <c r="B94" s="5">
        <v>46209</v>
      </c>
      <c r="C94" s="7">
        <v>0.34236111111111101</v>
      </c>
      <c r="D94" s="7">
        <v>0.73194444444444395</v>
      </c>
      <c r="E94" s="8">
        <f t="shared" si="4"/>
        <v>9.3499999999999908</v>
      </c>
      <c r="F94" s="8">
        <f t="shared" si="5"/>
        <v>0</v>
      </c>
      <c r="G94" s="8">
        <f t="shared" si="6"/>
        <v>0.566666666666654</v>
      </c>
      <c r="H94" s="4" t="str">
        <f t="shared" si="7"/>
        <v>On Time</v>
      </c>
    </row>
    <row r="95" spans="1:8" x14ac:dyDescent="0.3">
      <c r="A95" s="4" t="s">
        <v>37</v>
      </c>
      <c r="B95" s="5">
        <v>46210</v>
      </c>
      <c r="C95" s="7">
        <v>0.32152777777777802</v>
      </c>
      <c r="D95" s="7">
        <v>0.70694444444444504</v>
      </c>
      <c r="E95" s="8">
        <f t="shared" si="4"/>
        <v>9.2500000000000089</v>
      </c>
      <c r="F95" s="8">
        <f t="shared" si="5"/>
        <v>0</v>
      </c>
      <c r="G95" s="8">
        <f t="shared" si="6"/>
        <v>0</v>
      </c>
      <c r="H95" s="4" t="str">
        <f t="shared" si="7"/>
        <v>On Time</v>
      </c>
    </row>
    <row r="96" spans="1:8" x14ac:dyDescent="0.3">
      <c r="A96" s="4" t="s">
        <v>37</v>
      </c>
      <c r="B96" s="5">
        <v>46211</v>
      </c>
      <c r="C96" s="7">
        <v>0.32500000000000001</v>
      </c>
      <c r="D96" s="7">
        <v>0.70555555555555605</v>
      </c>
      <c r="E96" s="8">
        <f t="shared" si="4"/>
        <v>9.1333333333333453</v>
      </c>
      <c r="F96" s="8">
        <f t="shared" si="5"/>
        <v>0</v>
      </c>
      <c r="G96" s="8">
        <f t="shared" si="6"/>
        <v>0</v>
      </c>
      <c r="H96" s="4" t="str">
        <f t="shared" si="7"/>
        <v>On Time</v>
      </c>
    </row>
    <row r="97" spans="1:8" x14ac:dyDescent="0.3">
      <c r="A97" s="4" t="s">
        <v>37</v>
      </c>
      <c r="B97" s="5">
        <v>46212</v>
      </c>
      <c r="C97" s="7">
        <v>0.328472222222222</v>
      </c>
      <c r="D97" s="7">
        <v>0.78749999999999998</v>
      </c>
      <c r="E97" s="8">
        <f t="shared" si="4"/>
        <v>11.016666666666671</v>
      </c>
      <c r="F97" s="8">
        <f t="shared" si="5"/>
        <v>0</v>
      </c>
      <c r="G97" s="8">
        <f t="shared" si="6"/>
        <v>1.8999999999999986</v>
      </c>
      <c r="H97" s="4" t="str">
        <f t="shared" si="7"/>
        <v>On Time</v>
      </c>
    </row>
    <row r="98" spans="1:8" x14ac:dyDescent="0.3">
      <c r="A98" s="4" t="s">
        <v>37</v>
      </c>
      <c r="B98" s="5">
        <v>46213</v>
      </c>
      <c r="C98" s="7">
        <v>0.33680555555555602</v>
      </c>
      <c r="D98" s="7">
        <v>0.70347222222222205</v>
      </c>
      <c r="E98" s="8">
        <f t="shared" si="4"/>
        <v>8.7999999999999847</v>
      </c>
      <c r="F98" s="8">
        <f t="shared" si="5"/>
        <v>0</v>
      </c>
      <c r="G98" s="8">
        <f t="shared" si="6"/>
        <v>0</v>
      </c>
      <c r="H98" s="4" t="str">
        <f t="shared" si="7"/>
        <v>On Time</v>
      </c>
    </row>
    <row r="99" spans="1:8" x14ac:dyDescent="0.3">
      <c r="A99" s="4" t="s">
        <v>40</v>
      </c>
      <c r="B99" s="5">
        <v>46204</v>
      </c>
      <c r="C99" s="7">
        <v>0.38819444444444501</v>
      </c>
      <c r="D99" s="7">
        <v>0.70555555555555605</v>
      </c>
      <c r="E99" s="8">
        <f t="shared" si="4"/>
        <v>7.6166666666666654</v>
      </c>
      <c r="F99" s="8">
        <f t="shared" si="5"/>
        <v>64.00000000000081</v>
      </c>
      <c r="G99" s="8">
        <f t="shared" si="6"/>
        <v>0</v>
      </c>
      <c r="H99" s="4" t="str">
        <f t="shared" si="7"/>
        <v>Late</v>
      </c>
    </row>
    <row r="100" spans="1:8" x14ac:dyDescent="0.3">
      <c r="A100" s="4" t="s">
        <v>40</v>
      </c>
      <c r="B100" s="5">
        <v>46206</v>
      </c>
      <c r="C100" s="7">
        <v>0.33888888888888902</v>
      </c>
      <c r="D100" s="7">
        <v>0.71736111111111101</v>
      </c>
      <c r="E100" s="8">
        <f t="shared" si="4"/>
        <v>9.0833333333333286</v>
      </c>
      <c r="F100" s="8">
        <f t="shared" si="5"/>
        <v>0</v>
      </c>
      <c r="G100" s="8">
        <f t="shared" si="6"/>
        <v>0.21666666666666323</v>
      </c>
      <c r="H100" s="4" t="str">
        <f t="shared" si="7"/>
        <v>On Time</v>
      </c>
    </row>
    <row r="101" spans="1:8" x14ac:dyDescent="0.3">
      <c r="A101" s="4" t="s">
        <v>40</v>
      </c>
      <c r="B101" s="5">
        <v>46207</v>
      </c>
      <c r="C101" s="7">
        <v>0.32569444444444501</v>
      </c>
      <c r="D101" s="7">
        <v>0.69652777777777797</v>
      </c>
      <c r="E101" s="8">
        <f t="shared" si="4"/>
        <v>8.8999999999999915</v>
      </c>
      <c r="F101" s="8">
        <f t="shared" si="5"/>
        <v>0</v>
      </c>
      <c r="G101" s="8">
        <f t="shared" si="6"/>
        <v>0</v>
      </c>
      <c r="H101" s="4" t="str">
        <f t="shared" si="7"/>
        <v>On Time</v>
      </c>
    </row>
    <row r="102" spans="1:8" x14ac:dyDescent="0.3">
      <c r="A102" s="4" t="s">
        <v>40</v>
      </c>
      <c r="B102" s="5">
        <v>46208</v>
      </c>
      <c r="C102" s="7">
        <v>0.33958333333333302</v>
      </c>
      <c r="D102" s="7">
        <v>0.77708333333333302</v>
      </c>
      <c r="E102" s="8">
        <f t="shared" si="4"/>
        <v>10.5</v>
      </c>
      <c r="F102" s="8">
        <f t="shared" si="5"/>
        <v>0</v>
      </c>
      <c r="G102" s="8">
        <f t="shared" si="6"/>
        <v>1.6499999999999915</v>
      </c>
      <c r="H102" s="4" t="str">
        <f t="shared" si="7"/>
        <v>On Time</v>
      </c>
    </row>
    <row r="103" spans="1:8" x14ac:dyDescent="0.3">
      <c r="A103" s="4" t="s">
        <v>40</v>
      </c>
      <c r="B103" s="5">
        <v>46209</v>
      </c>
      <c r="C103" s="7">
        <v>0.38194444444444398</v>
      </c>
      <c r="D103" s="7">
        <v>0.75833333333333297</v>
      </c>
      <c r="E103" s="8">
        <f t="shared" si="4"/>
        <v>9.033333333333335</v>
      </c>
      <c r="F103" s="8">
        <f t="shared" si="5"/>
        <v>54.999999999999325</v>
      </c>
      <c r="G103" s="8">
        <f t="shared" si="6"/>
        <v>1.1999999999999904</v>
      </c>
      <c r="H103" s="4" t="str">
        <f t="shared" si="7"/>
        <v>Late</v>
      </c>
    </row>
    <row r="104" spans="1:8" x14ac:dyDescent="0.3">
      <c r="A104" s="4" t="s">
        <v>40</v>
      </c>
      <c r="B104" s="5">
        <v>46210</v>
      </c>
      <c r="C104" s="7">
        <v>0.33263888888888898</v>
      </c>
      <c r="D104" s="7">
        <v>0.70833333333333304</v>
      </c>
      <c r="E104" s="8">
        <f t="shared" si="4"/>
        <v>9.0166666666666568</v>
      </c>
      <c r="F104" s="8">
        <f t="shared" si="5"/>
        <v>0</v>
      </c>
      <c r="G104" s="8">
        <f t="shared" si="6"/>
        <v>0</v>
      </c>
      <c r="H104" s="4" t="str">
        <f t="shared" si="7"/>
        <v>On Time</v>
      </c>
    </row>
    <row r="105" spans="1:8" x14ac:dyDescent="0.3">
      <c r="A105" s="4" t="s">
        <v>40</v>
      </c>
      <c r="B105" s="5">
        <v>46211</v>
      </c>
      <c r="C105" s="7">
        <v>0.33819444444444502</v>
      </c>
      <c r="D105" s="7">
        <v>0.69652777777777797</v>
      </c>
      <c r="E105" s="8">
        <f t="shared" si="4"/>
        <v>8.5999999999999908</v>
      </c>
      <c r="F105" s="8">
        <f t="shared" si="5"/>
        <v>0</v>
      </c>
      <c r="G105" s="8">
        <f t="shared" si="6"/>
        <v>0</v>
      </c>
      <c r="H105" s="4" t="str">
        <f t="shared" si="7"/>
        <v>On Time</v>
      </c>
    </row>
    <row r="106" spans="1:8" x14ac:dyDescent="0.3">
      <c r="A106" s="4" t="s">
        <v>40</v>
      </c>
      <c r="B106" s="5">
        <v>46213</v>
      </c>
      <c r="C106" s="7">
        <v>0.360416666666667</v>
      </c>
      <c r="D106" s="7">
        <v>0.70694444444444504</v>
      </c>
      <c r="E106" s="8">
        <f t="shared" si="4"/>
        <v>8.3166666666666735</v>
      </c>
      <c r="F106" s="8">
        <f t="shared" si="5"/>
        <v>24.000000000000476</v>
      </c>
      <c r="G106" s="8">
        <f t="shared" si="6"/>
        <v>0</v>
      </c>
      <c r="H106" s="4" t="str">
        <f t="shared" si="7"/>
        <v>Late</v>
      </c>
    </row>
    <row r="107" spans="1:8" x14ac:dyDescent="0.3">
      <c r="A107" s="4" t="s">
        <v>44</v>
      </c>
      <c r="B107" s="5">
        <v>46204</v>
      </c>
      <c r="C107" s="7">
        <v>0.32986111111111099</v>
      </c>
      <c r="D107" s="7">
        <v>0.69444444444444398</v>
      </c>
      <c r="E107" s="8">
        <f t="shared" si="4"/>
        <v>8.7499999999999911</v>
      </c>
      <c r="F107" s="8">
        <f t="shared" si="5"/>
        <v>0</v>
      </c>
      <c r="G107" s="8">
        <f t="shared" si="6"/>
        <v>0</v>
      </c>
      <c r="H107" s="4" t="str">
        <f t="shared" si="7"/>
        <v>On Time</v>
      </c>
    </row>
    <row r="108" spans="1:8" x14ac:dyDescent="0.3">
      <c r="A108" s="4" t="s">
        <v>44</v>
      </c>
      <c r="B108" s="5">
        <v>46205</v>
      </c>
      <c r="C108" s="7">
        <v>0.33263888888888898</v>
      </c>
      <c r="D108" s="7">
        <v>0.72499999999999998</v>
      </c>
      <c r="E108" s="8">
        <f t="shared" si="4"/>
        <v>9.4166666666666643</v>
      </c>
      <c r="F108" s="8">
        <f t="shared" si="5"/>
        <v>0</v>
      </c>
      <c r="G108" s="8">
        <f t="shared" si="6"/>
        <v>0.39999999999999858</v>
      </c>
      <c r="H108" s="4" t="str">
        <f t="shared" si="7"/>
        <v>On Time</v>
      </c>
    </row>
    <row r="109" spans="1:8" x14ac:dyDescent="0.3">
      <c r="A109" s="4" t="s">
        <v>44</v>
      </c>
      <c r="B109" s="5">
        <v>46206</v>
      </c>
      <c r="C109" s="7">
        <v>0.33750000000000002</v>
      </c>
      <c r="D109" s="7">
        <v>0.72847222222222197</v>
      </c>
      <c r="E109" s="8">
        <f t="shared" si="4"/>
        <v>9.3833333333333258</v>
      </c>
      <c r="F109" s="8">
        <f t="shared" si="5"/>
        <v>0</v>
      </c>
      <c r="G109" s="8">
        <f t="shared" si="6"/>
        <v>0.48333333333332629</v>
      </c>
      <c r="H109" s="4" t="str">
        <f t="shared" si="7"/>
        <v>On Time</v>
      </c>
    </row>
    <row r="110" spans="1:8" x14ac:dyDescent="0.3">
      <c r="A110" s="4" t="s">
        <v>44</v>
      </c>
      <c r="B110" s="5">
        <v>46207</v>
      </c>
      <c r="C110" s="7">
        <v>0.33541666666666697</v>
      </c>
      <c r="D110" s="7">
        <v>0.71111111111111103</v>
      </c>
      <c r="E110" s="8">
        <f t="shared" si="4"/>
        <v>9.0166666666666568</v>
      </c>
      <c r="F110" s="8">
        <f t="shared" si="5"/>
        <v>0</v>
      </c>
      <c r="G110" s="8">
        <f t="shared" si="6"/>
        <v>6.6666666666663765E-2</v>
      </c>
      <c r="H110" s="4" t="str">
        <f t="shared" si="7"/>
        <v>On Time</v>
      </c>
    </row>
    <row r="111" spans="1:8" x14ac:dyDescent="0.3">
      <c r="A111" s="4" t="s">
        <v>44</v>
      </c>
      <c r="B111" s="5">
        <v>46208</v>
      </c>
      <c r="C111" s="7">
        <v>0.33750000000000002</v>
      </c>
      <c r="D111" s="7">
        <v>0.70277777777777795</v>
      </c>
      <c r="E111" s="8">
        <f t="shared" si="4"/>
        <v>8.7666666666666693</v>
      </c>
      <c r="F111" s="8">
        <f t="shared" si="5"/>
        <v>0</v>
      </c>
      <c r="G111" s="8">
        <f t="shared" si="6"/>
        <v>0</v>
      </c>
      <c r="H111" s="4" t="str">
        <f t="shared" si="7"/>
        <v>On Time</v>
      </c>
    </row>
    <row r="112" spans="1:8" x14ac:dyDescent="0.3">
      <c r="A112" s="4" t="s">
        <v>44</v>
      </c>
      <c r="B112" s="5">
        <v>46209</v>
      </c>
      <c r="C112" s="7">
        <v>0.33194444444444399</v>
      </c>
      <c r="D112" s="7">
        <v>0.70555555555555605</v>
      </c>
      <c r="E112" s="8">
        <f t="shared" si="4"/>
        <v>8.9666666666666899</v>
      </c>
      <c r="F112" s="8">
        <f t="shared" si="5"/>
        <v>0</v>
      </c>
      <c r="G112" s="8">
        <f t="shared" si="6"/>
        <v>0</v>
      </c>
      <c r="H112" s="4" t="str">
        <f t="shared" si="7"/>
        <v>On Time</v>
      </c>
    </row>
    <row r="113" spans="1:8" x14ac:dyDescent="0.3">
      <c r="A113" s="4" t="s">
        <v>44</v>
      </c>
      <c r="B113" s="5">
        <v>46210</v>
      </c>
      <c r="C113" s="7">
        <v>0.36875000000000002</v>
      </c>
      <c r="D113" s="7">
        <v>0.70069444444444395</v>
      </c>
      <c r="E113" s="8">
        <f t="shared" si="4"/>
        <v>7.9666666666666544</v>
      </c>
      <c r="F113" s="8">
        <f t="shared" si="5"/>
        <v>36.000000000000028</v>
      </c>
      <c r="G113" s="8">
        <f t="shared" si="6"/>
        <v>0</v>
      </c>
      <c r="H113" s="4" t="str">
        <f t="shared" si="7"/>
        <v>Late</v>
      </c>
    </row>
    <row r="114" spans="1:8" x14ac:dyDescent="0.3">
      <c r="A114" s="4" t="s">
        <v>44</v>
      </c>
      <c r="B114" s="5">
        <v>46211</v>
      </c>
      <c r="C114" s="7">
        <v>0.327777777777778</v>
      </c>
      <c r="D114" s="7">
        <v>0.72777777777777797</v>
      </c>
      <c r="E114" s="8">
        <f t="shared" si="4"/>
        <v>9.6</v>
      </c>
      <c r="F114" s="8">
        <f t="shared" si="5"/>
        <v>0</v>
      </c>
      <c r="G114" s="8">
        <f t="shared" si="6"/>
        <v>0.46666666666667034</v>
      </c>
      <c r="H114" s="4" t="str">
        <f t="shared" si="7"/>
        <v>On Time</v>
      </c>
    </row>
    <row r="115" spans="1:8" x14ac:dyDescent="0.3">
      <c r="A115" s="4" t="s">
        <v>44</v>
      </c>
      <c r="B115" s="5">
        <v>46212</v>
      </c>
      <c r="C115" s="7">
        <v>0.33194444444444399</v>
      </c>
      <c r="D115" s="7">
        <v>0.76319444444444395</v>
      </c>
      <c r="E115" s="8">
        <f t="shared" si="4"/>
        <v>10.35</v>
      </c>
      <c r="F115" s="8">
        <f t="shared" si="5"/>
        <v>0</v>
      </c>
      <c r="G115" s="8">
        <f t="shared" si="6"/>
        <v>1.316666666666654</v>
      </c>
      <c r="H115" s="4" t="str">
        <f t="shared" si="7"/>
        <v>On Time</v>
      </c>
    </row>
    <row r="116" spans="1:8" x14ac:dyDescent="0.3">
      <c r="A116" s="4" t="s">
        <v>44</v>
      </c>
      <c r="B116" s="5">
        <v>46213</v>
      </c>
      <c r="C116" s="7">
        <v>0.327083333333333</v>
      </c>
      <c r="D116" s="7">
        <v>0.70486111111111105</v>
      </c>
      <c r="E116" s="8">
        <f t="shared" si="4"/>
        <v>9.0666666666666735</v>
      </c>
      <c r="F116" s="8">
        <f t="shared" si="5"/>
        <v>0</v>
      </c>
      <c r="G116" s="8">
        <f t="shared" si="6"/>
        <v>0</v>
      </c>
      <c r="H116" s="4" t="str">
        <f t="shared" si="7"/>
        <v>On Time</v>
      </c>
    </row>
    <row r="117" spans="1:8" x14ac:dyDescent="0.3">
      <c r="A117" s="4" t="s">
        <v>45</v>
      </c>
      <c r="B117" s="5">
        <v>46204</v>
      </c>
      <c r="C117" s="7">
        <v>0.33888888888888902</v>
      </c>
      <c r="D117" s="7">
        <v>0.70138888888888895</v>
      </c>
      <c r="E117" s="8">
        <f t="shared" si="4"/>
        <v>8.6999999999999993</v>
      </c>
      <c r="F117" s="8">
        <f t="shared" si="5"/>
        <v>0</v>
      </c>
      <c r="G117" s="8">
        <f t="shared" si="6"/>
        <v>0</v>
      </c>
      <c r="H117" s="4" t="str">
        <f t="shared" si="7"/>
        <v>On Time</v>
      </c>
    </row>
    <row r="118" spans="1:8" x14ac:dyDescent="0.3">
      <c r="A118" s="4" t="s">
        <v>45</v>
      </c>
      <c r="B118" s="5">
        <v>46205</v>
      </c>
      <c r="C118" s="7">
        <v>0.32291666666666702</v>
      </c>
      <c r="D118" s="7">
        <v>0.70138888888888895</v>
      </c>
      <c r="E118" s="8">
        <f t="shared" si="4"/>
        <v>9.0833333333333268</v>
      </c>
      <c r="F118" s="8">
        <f t="shared" si="5"/>
        <v>0</v>
      </c>
      <c r="G118" s="8">
        <f t="shared" si="6"/>
        <v>0</v>
      </c>
      <c r="H118" s="4" t="str">
        <f t="shared" si="7"/>
        <v>On Time</v>
      </c>
    </row>
    <row r="119" spans="1:8" x14ac:dyDescent="0.3">
      <c r="A119" s="4" t="s">
        <v>45</v>
      </c>
      <c r="B119" s="5">
        <v>46206</v>
      </c>
      <c r="C119" s="7">
        <v>0.34236111111111101</v>
      </c>
      <c r="D119" s="7">
        <v>0.69513888888888897</v>
      </c>
      <c r="E119" s="8">
        <f t="shared" si="4"/>
        <v>8.4666666666666721</v>
      </c>
      <c r="F119" s="8">
        <f t="shared" si="5"/>
        <v>0</v>
      </c>
      <c r="G119" s="8">
        <f t="shared" si="6"/>
        <v>0</v>
      </c>
      <c r="H119" s="4" t="str">
        <f t="shared" si="7"/>
        <v>On Time</v>
      </c>
    </row>
    <row r="120" spans="1:8" x14ac:dyDescent="0.3">
      <c r="A120" s="4" t="s">
        <v>45</v>
      </c>
      <c r="B120" s="5">
        <v>46207</v>
      </c>
      <c r="C120" s="7">
        <v>0.33611111111111103</v>
      </c>
      <c r="D120" s="7">
        <v>0.70138888888888895</v>
      </c>
      <c r="E120" s="8">
        <f t="shared" si="4"/>
        <v>8.7666666666666693</v>
      </c>
      <c r="F120" s="8">
        <f t="shared" si="5"/>
        <v>0</v>
      </c>
      <c r="G120" s="8">
        <f t="shared" si="6"/>
        <v>0</v>
      </c>
      <c r="H120" s="4" t="str">
        <f t="shared" si="7"/>
        <v>On Time</v>
      </c>
    </row>
    <row r="121" spans="1:8" x14ac:dyDescent="0.3">
      <c r="A121" s="4" t="s">
        <v>45</v>
      </c>
      <c r="B121" s="5">
        <v>46208</v>
      </c>
      <c r="C121" s="7">
        <v>0.32361111111111102</v>
      </c>
      <c r="D121" s="7">
        <v>0.73263888888888895</v>
      </c>
      <c r="E121" s="8">
        <f t="shared" si="4"/>
        <v>9.81666666666667</v>
      </c>
      <c r="F121" s="8">
        <f t="shared" si="5"/>
        <v>0</v>
      </c>
      <c r="G121" s="8">
        <f t="shared" si="6"/>
        <v>0.58333333333333393</v>
      </c>
      <c r="H121" s="4" t="str">
        <f t="shared" si="7"/>
        <v>On Time</v>
      </c>
    </row>
    <row r="122" spans="1:8" x14ac:dyDescent="0.3">
      <c r="A122" s="4" t="s">
        <v>45</v>
      </c>
      <c r="B122" s="5">
        <v>46209</v>
      </c>
      <c r="C122" s="7">
        <v>0.36527777777777798</v>
      </c>
      <c r="D122" s="7">
        <v>0.69652777777777797</v>
      </c>
      <c r="E122" s="8">
        <f t="shared" si="4"/>
        <v>7.9499999999999993</v>
      </c>
      <c r="F122" s="8">
        <f t="shared" si="5"/>
        <v>31.000000000000291</v>
      </c>
      <c r="G122" s="8">
        <f t="shared" si="6"/>
        <v>0</v>
      </c>
      <c r="H122" s="4" t="str">
        <f t="shared" si="7"/>
        <v>Late</v>
      </c>
    </row>
    <row r="123" spans="1:8" x14ac:dyDescent="0.3">
      <c r="A123" s="4" t="s">
        <v>45</v>
      </c>
      <c r="B123" s="5">
        <v>46210</v>
      </c>
      <c r="C123" s="7">
        <v>0.328472222222222</v>
      </c>
      <c r="D123" s="7">
        <v>0.70069444444444395</v>
      </c>
      <c r="E123" s="8">
        <f t="shared" si="4"/>
        <v>8.9333333333333265</v>
      </c>
      <c r="F123" s="8">
        <f t="shared" si="5"/>
        <v>0</v>
      </c>
      <c r="G123" s="8">
        <f t="shared" si="6"/>
        <v>0</v>
      </c>
      <c r="H123" s="4" t="str">
        <f t="shared" si="7"/>
        <v>On Time</v>
      </c>
    </row>
    <row r="124" spans="1:8" x14ac:dyDescent="0.3">
      <c r="A124" s="4" t="s">
        <v>45</v>
      </c>
      <c r="B124" s="5">
        <v>46211</v>
      </c>
      <c r="C124" s="7">
        <v>0.33819444444444502</v>
      </c>
      <c r="D124" s="7">
        <v>0.77083333333333304</v>
      </c>
      <c r="E124" s="8">
        <f t="shared" si="4"/>
        <v>10.383333333333312</v>
      </c>
      <c r="F124" s="8">
        <f t="shared" si="5"/>
        <v>0</v>
      </c>
      <c r="G124" s="8">
        <f t="shared" si="6"/>
        <v>1.499999999999992</v>
      </c>
      <c r="H124" s="4" t="str">
        <f t="shared" si="7"/>
        <v>On Time</v>
      </c>
    </row>
    <row r="125" spans="1:8" x14ac:dyDescent="0.3">
      <c r="A125" s="4" t="s">
        <v>45</v>
      </c>
      <c r="B125" s="5">
        <v>46212</v>
      </c>
      <c r="C125" s="7">
        <v>0.33541666666666697</v>
      </c>
      <c r="D125" s="7">
        <v>0.70416666666666705</v>
      </c>
      <c r="E125" s="8">
        <f t="shared" si="4"/>
        <v>8.8500000000000014</v>
      </c>
      <c r="F125" s="8">
        <f t="shared" si="5"/>
        <v>0</v>
      </c>
      <c r="G125" s="8">
        <f t="shared" si="6"/>
        <v>0</v>
      </c>
      <c r="H125" s="4" t="str">
        <f t="shared" si="7"/>
        <v>On Time</v>
      </c>
    </row>
    <row r="126" spans="1:8" x14ac:dyDescent="0.3">
      <c r="A126" s="4" t="s">
        <v>45</v>
      </c>
      <c r="B126" s="5">
        <v>46213</v>
      </c>
      <c r="C126" s="7">
        <v>0.33541666666666697</v>
      </c>
      <c r="D126" s="7">
        <v>0.70486111111111105</v>
      </c>
      <c r="E126" s="8">
        <f t="shared" si="4"/>
        <v>8.8666666666666583</v>
      </c>
      <c r="F126" s="8">
        <f t="shared" si="5"/>
        <v>0</v>
      </c>
      <c r="G126" s="8">
        <f t="shared" si="6"/>
        <v>0</v>
      </c>
      <c r="H126" s="4" t="str">
        <f t="shared" si="7"/>
        <v>On Time</v>
      </c>
    </row>
    <row r="127" spans="1:8" x14ac:dyDescent="0.3">
      <c r="A127" s="4" t="s">
        <v>47</v>
      </c>
      <c r="B127" s="5">
        <v>46204</v>
      </c>
      <c r="C127" s="7">
        <v>0.32222222222222202</v>
      </c>
      <c r="D127" s="7">
        <v>0.70138888888888895</v>
      </c>
      <c r="E127" s="8">
        <f t="shared" si="4"/>
        <v>9.1000000000000068</v>
      </c>
      <c r="F127" s="8">
        <f t="shared" si="5"/>
        <v>0</v>
      </c>
      <c r="G127" s="8">
        <f t="shared" si="6"/>
        <v>0</v>
      </c>
      <c r="H127" s="4" t="str">
        <f t="shared" si="7"/>
        <v>On Time</v>
      </c>
    </row>
    <row r="128" spans="1:8" x14ac:dyDescent="0.3">
      <c r="A128" s="4" t="s">
        <v>47</v>
      </c>
      <c r="B128" s="5">
        <v>46205</v>
      </c>
      <c r="C128" s="7">
        <v>0.33402777777777798</v>
      </c>
      <c r="D128" s="7">
        <v>0.70763888888888904</v>
      </c>
      <c r="E128" s="8">
        <f t="shared" si="4"/>
        <v>8.966666666666665</v>
      </c>
      <c r="F128" s="8">
        <f t="shared" si="5"/>
        <v>0</v>
      </c>
      <c r="G128" s="8">
        <f t="shared" si="6"/>
        <v>0</v>
      </c>
      <c r="H128" s="4" t="str">
        <f t="shared" si="7"/>
        <v>On Time</v>
      </c>
    </row>
    <row r="129" spans="1:8" x14ac:dyDescent="0.3">
      <c r="A129" s="4" t="s">
        <v>47</v>
      </c>
      <c r="B129" s="5">
        <v>46206</v>
      </c>
      <c r="C129" s="7">
        <v>0.37986111111111098</v>
      </c>
      <c r="D129" s="7">
        <v>0.70138888888888895</v>
      </c>
      <c r="E129" s="8">
        <f t="shared" si="4"/>
        <v>7.7166666666666712</v>
      </c>
      <c r="F129" s="8">
        <f t="shared" si="5"/>
        <v>51.999999999999815</v>
      </c>
      <c r="G129" s="8">
        <f t="shared" si="6"/>
        <v>0</v>
      </c>
      <c r="H129" s="4" t="str">
        <f t="shared" si="7"/>
        <v>Late</v>
      </c>
    </row>
    <row r="130" spans="1:8" x14ac:dyDescent="0.3">
      <c r="A130" s="4" t="s">
        <v>47</v>
      </c>
      <c r="B130" s="5">
        <v>46207</v>
      </c>
      <c r="C130" s="7">
        <v>0.33263888888888898</v>
      </c>
      <c r="D130" s="7">
        <v>0.77500000000000002</v>
      </c>
      <c r="E130" s="8">
        <f t="shared" ref="E130:E193" si="8">(D130-C130)*24</f>
        <v>10.616666666666665</v>
      </c>
      <c r="F130" s="8">
        <f t="shared" ref="F130:F193" si="9">IF(C130&gt;TIME(8,15,0),(C130-TIME(8,15,0))*1440,0)</f>
        <v>0</v>
      </c>
      <c r="G130" s="8">
        <f t="shared" ref="G130:G193" si="10">IF(D130&gt;TIME(17,0,0),(D130-TIME(17,0,0))*24,0)</f>
        <v>1.5999999999999996</v>
      </c>
      <c r="H130" s="4" t="str">
        <f t="shared" ref="H130:H193" si="11">IF(C130&gt;TIME(8,15,0),"Late","On Time")</f>
        <v>On Time</v>
      </c>
    </row>
    <row r="131" spans="1:8" x14ac:dyDescent="0.3">
      <c r="A131" s="4" t="s">
        <v>47</v>
      </c>
      <c r="B131" s="5">
        <v>46208</v>
      </c>
      <c r="C131" s="7">
        <v>0.32222222222222202</v>
      </c>
      <c r="D131" s="7">
        <v>0.72847222222222197</v>
      </c>
      <c r="E131" s="8">
        <f t="shared" si="8"/>
        <v>9.7499999999999982</v>
      </c>
      <c r="F131" s="8">
        <f t="shared" si="9"/>
        <v>0</v>
      </c>
      <c r="G131" s="8">
        <f t="shared" si="10"/>
        <v>0.48333333333332629</v>
      </c>
      <c r="H131" s="4" t="str">
        <f t="shared" si="11"/>
        <v>On Time</v>
      </c>
    </row>
    <row r="132" spans="1:8" x14ac:dyDescent="0.3">
      <c r="A132" s="4" t="s">
        <v>47</v>
      </c>
      <c r="B132" s="5">
        <v>46209</v>
      </c>
      <c r="C132" s="7">
        <v>0.37847222222222199</v>
      </c>
      <c r="D132" s="7">
        <v>0.70277777777777795</v>
      </c>
      <c r="E132" s="8">
        <f t="shared" si="8"/>
        <v>7.783333333333343</v>
      </c>
      <c r="F132" s="8">
        <f t="shared" si="9"/>
        <v>49.999999999999659</v>
      </c>
      <c r="G132" s="8">
        <f t="shared" si="10"/>
        <v>0</v>
      </c>
      <c r="H132" s="4" t="str">
        <f t="shared" si="11"/>
        <v>Late</v>
      </c>
    </row>
    <row r="133" spans="1:8" x14ac:dyDescent="0.3">
      <c r="A133" s="4" t="s">
        <v>47</v>
      </c>
      <c r="B133" s="5">
        <v>46210</v>
      </c>
      <c r="C133" s="7">
        <v>0.33819444444444502</v>
      </c>
      <c r="D133" s="7">
        <v>0.69722222222222197</v>
      </c>
      <c r="E133" s="8">
        <f t="shared" si="8"/>
        <v>8.6166666666666458</v>
      </c>
      <c r="F133" s="8">
        <f t="shared" si="9"/>
        <v>0</v>
      </c>
      <c r="G133" s="8">
        <f t="shared" si="10"/>
        <v>0</v>
      </c>
      <c r="H133" s="4" t="str">
        <f t="shared" si="11"/>
        <v>On Time</v>
      </c>
    </row>
    <row r="134" spans="1:8" x14ac:dyDescent="0.3">
      <c r="A134" s="4" t="s">
        <v>47</v>
      </c>
      <c r="B134" s="5">
        <v>46211</v>
      </c>
      <c r="C134" s="7">
        <v>0.327083333333333</v>
      </c>
      <c r="D134" s="7">
        <v>0.79097222222222197</v>
      </c>
      <c r="E134" s="8">
        <f t="shared" si="8"/>
        <v>11.133333333333335</v>
      </c>
      <c r="F134" s="8">
        <f t="shared" si="9"/>
        <v>0</v>
      </c>
      <c r="G134" s="8">
        <f t="shared" si="10"/>
        <v>1.9833333333333263</v>
      </c>
      <c r="H134" s="4" t="str">
        <f t="shared" si="11"/>
        <v>On Time</v>
      </c>
    </row>
    <row r="135" spans="1:8" x14ac:dyDescent="0.3">
      <c r="A135" s="4" t="s">
        <v>47</v>
      </c>
      <c r="B135" s="5">
        <v>46212</v>
      </c>
      <c r="C135" s="7">
        <v>0.32569444444444501</v>
      </c>
      <c r="D135" s="7">
        <v>0.70138888888888895</v>
      </c>
      <c r="E135" s="8">
        <f t="shared" si="8"/>
        <v>9.0166666666666551</v>
      </c>
      <c r="F135" s="8">
        <f t="shared" si="9"/>
        <v>0</v>
      </c>
      <c r="G135" s="8">
        <f t="shared" si="10"/>
        <v>0</v>
      </c>
      <c r="H135" s="4" t="str">
        <f t="shared" si="11"/>
        <v>On Time</v>
      </c>
    </row>
    <row r="136" spans="1:8" x14ac:dyDescent="0.3">
      <c r="A136" s="4" t="s">
        <v>47</v>
      </c>
      <c r="B136" s="5">
        <v>46213</v>
      </c>
      <c r="C136" s="7">
        <v>0.33958333333333302</v>
      </c>
      <c r="D136" s="7">
        <v>0.70763888888888904</v>
      </c>
      <c r="E136" s="8">
        <f t="shared" si="8"/>
        <v>8.8333333333333446</v>
      </c>
      <c r="F136" s="8">
        <f t="shared" si="9"/>
        <v>0</v>
      </c>
      <c r="G136" s="8">
        <f t="shared" si="10"/>
        <v>0</v>
      </c>
      <c r="H136" s="4" t="str">
        <f t="shared" si="11"/>
        <v>On Time</v>
      </c>
    </row>
    <row r="137" spans="1:8" x14ac:dyDescent="0.3">
      <c r="A137" s="4" t="s">
        <v>49</v>
      </c>
      <c r="B137" s="5">
        <v>46204</v>
      </c>
      <c r="C137" s="7">
        <v>0.32361111111111102</v>
      </c>
      <c r="D137" s="7">
        <v>0.7</v>
      </c>
      <c r="E137" s="8">
        <f t="shared" si="8"/>
        <v>9.033333333333335</v>
      </c>
      <c r="F137" s="8">
        <f t="shared" si="9"/>
        <v>0</v>
      </c>
      <c r="G137" s="8">
        <f t="shared" si="10"/>
        <v>0</v>
      </c>
      <c r="H137" s="4" t="str">
        <f t="shared" si="11"/>
        <v>On Time</v>
      </c>
    </row>
    <row r="138" spans="1:8" x14ac:dyDescent="0.3">
      <c r="A138" s="4" t="s">
        <v>49</v>
      </c>
      <c r="B138" s="5">
        <v>46205</v>
      </c>
      <c r="C138" s="7">
        <v>0.328472222222222</v>
      </c>
      <c r="D138" s="7">
        <v>0.75208333333333299</v>
      </c>
      <c r="E138" s="8">
        <f t="shared" si="8"/>
        <v>10.166666666666664</v>
      </c>
      <c r="F138" s="8">
        <f t="shared" si="9"/>
        <v>0</v>
      </c>
      <c r="G138" s="8">
        <f t="shared" si="10"/>
        <v>1.0499999999999909</v>
      </c>
      <c r="H138" s="4" t="str">
        <f t="shared" si="11"/>
        <v>On Time</v>
      </c>
    </row>
    <row r="139" spans="1:8" x14ac:dyDescent="0.3">
      <c r="A139" s="4" t="s">
        <v>49</v>
      </c>
      <c r="B139" s="5">
        <v>46206</v>
      </c>
      <c r="C139" s="7">
        <v>0.33888888888888902</v>
      </c>
      <c r="D139" s="7">
        <v>0.72013888888888899</v>
      </c>
      <c r="E139" s="8">
        <f t="shared" si="8"/>
        <v>9.1499999999999986</v>
      </c>
      <c r="F139" s="8">
        <f t="shared" si="9"/>
        <v>0</v>
      </c>
      <c r="G139" s="8">
        <f t="shared" si="10"/>
        <v>0.28333333333333499</v>
      </c>
      <c r="H139" s="4" t="str">
        <f t="shared" si="11"/>
        <v>On Time</v>
      </c>
    </row>
    <row r="140" spans="1:8" x14ac:dyDescent="0.3">
      <c r="A140" s="4" t="s">
        <v>49</v>
      </c>
      <c r="B140" s="5">
        <v>46207</v>
      </c>
      <c r="C140" s="7">
        <v>0.32986111111111099</v>
      </c>
      <c r="D140" s="7">
        <v>0.69652777777777797</v>
      </c>
      <c r="E140" s="8">
        <f t="shared" si="8"/>
        <v>8.8000000000000078</v>
      </c>
      <c r="F140" s="8">
        <f t="shared" si="9"/>
        <v>0</v>
      </c>
      <c r="G140" s="8">
        <f t="shared" si="10"/>
        <v>0</v>
      </c>
      <c r="H140" s="4" t="str">
        <f t="shared" si="11"/>
        <v>On Time</v>
      </c>
    </row>
    <row r="141" spans="1:8" x14ac:dyDescent="0.3">
      <c r="A141" s="4" t="s">
        <v>49</v>
      </c>
      <c r="B141" s="5">
        <v>46208</v>
      </c>
      <c r="C141" s="7">
        <v>0.33194444444444399</v>
      </c>
      <c r="D141" s="7">
        <v>0.70694444444444504</v>
      </c>
      <c r="E141" s="8">
        <f t="shared" si="8"/>
        <v>9.0000000000000249</v>
      </c>
      <c r="F141" s="8">
        <f t="shared" si="9"/>
        <v>0</v>
      </c>
      <c r="G141" s="8">
        <f t="shared" si="10"/>
        <v>0</v>
      </c>
      <c r="H141" s="4" t="str">
        <f t="shared" si="11"/>
        <v>On Time</v>
      </c>
    </row>
    <row r="142" spans="1:8" x14ac:dyDescent="0.3">
      <c r="A142" s="4" t="s">
        <v>49</v>
      </c>
      <c r="B142" s="5">
        <v>46209</v>
      </c>
      <c r="C142" s="7">
        <v>0.33055555555555599</v>
      </c>
      <c r="D142" s="7">
        <v>0.69861111111111096</v>
      </c>
      <c r="E142" s="8">
        <f t="shared" si="8"/>
        <v>8.8333333333333197</v>
      </c>
      <c r="F142" s="8">
        <f t="shared" si="9"/>
        <v>0</v>
      </c>
      <c r="G142" s="8">
        <f t="shared" si="10"/>
        <v>0</v>
      </c>
      <c r="H142" s="4" t="str">
        <f t="shared" si="11"/>
        <v>On Time</v>
      </c>
    </row>
    <row r="143" spans="1:8" x14ac:dyDescent="0.3">
      <c r="A143" s="4" t="s">
        <v>49</v>
      </c>
      <c r="B143" s="5">
        <v>46210</v>
      </c>
      <c r="C143" s="7">
        <v>0.327083333333333</v>
      </c>
      <c r="D143" s="7">
        <v>0.72152777777777799</v>
      </c>
      <c r="E143" s="8">
        <f t="shared" si="8"/>
        <v>9.4666666666666792</v>
      </c>
      <c r="F143" s="8">
        <f t="shared" si="9"/>
        <v>0</v>
      </c>
      <c r="G143" s="8">
        <f t="shared" si="10"/>
        <v>0.31666666666667087</v>
      </c>
      <c r="H143" s="4" t="str">
        <f t="shared" si="11"/>
        <v>On Time</v>
      </c>
    </row>
    <row r="144" spans="1:8" x14ac:dyDescent="0.3">
      <c r="A144" s="4" t="s">
        <v>49</v>
      </c>
      <c r="B144" s="5">
        <v>46211</v>
      </c>
      <c r="C144" s="7">
        <v>0.327777777777778</v>
      </c>
      <c r="D144" s="7">
        <v>0.70277777777777795</v>
      </c>
      <c r="E144" s="8">
        <f t="shared" si="8"/>
        <v>8.9999999999999982</v>
      </c>
      <c r="F144" s="8">
        <f t="shared" si="9"/>
        <v>0</v>
      </c>
      <c r="G144" s="8">
        <f t="shared" si="10"/>
        <v>0</v>
      </c>
      <c r="H144" s="4" t="str">
        <f t="shared" si="11"/>
        <v>On Time</v>
      </c>
    </row>
    <row r="145" spans="1:8" x14ac:dyDescent="0.3">
      <c r="A145" s="4" t="s">
        <v>49</v>
      </c>
      <c r="B145" s="5">
        <v>46212</v>
      </c>
      <c r="C145" s="7">
        <v>0.32986111111111099</v>
      </c>
      <c r="D145" s="7">
        <v>0.69930555555555596</v>
      </c>
      <c r="E145" s="8">
        <f t="shared" si="8"/>
        <v>8.8666666666666796</v>
      </c>
      <c r="F145" s="8">
        <f t="shared" si="9"/>
        <v>0</v>
      </c>
      <c r="G145" s="8">
        <f t="shared" si="10"/>
        <v>0</v>
      </c>
      <c r="H145" s="4" t="str">
        <f t="shared" si="11"/>
        <v>On Time</v>
      </c>
    </row>
    <row r="146" spans="1:8" x14ac:dyDescent="0.3">
      <c r="A146" s="4" t="s">
        <v>49</v>
      </c>
      <c r="B146" s="5">
        <v>46213</v>
      </c>
      <c r="C146" s="7">
        <v>0.32361111111111102</v>
      </c>
      <c r="D146" s="7">
        <v>0.69513888888888897</v>
      </c>
      <c r="E146" s="8">
        <f t="shared" si="8"/>
        <v>8.9166666666666714</v>
      </c>
      <c r="F146" s="8">
        <f t="shared" si="9"/>
        <v>0</v>
      </c>
      <c r="G146" s="8">
        <f t="shared" si="10"/>
        <v>0</v>
      </c>
      <c r="H146" s="4" t="str">
        <f t="shared" si="11"/>
        <v>On Time</v>
      </c>
    </row>
    <row r="147" spans="1:8" x14ac:dyDescent="0.3">
      <c r="A147" s="4" t="s">
        <v>51</v>
      </c>
      <c r="B147" s="5">
        <v>46204</v>
      </c>
      <c r="C147" s="7">
        <v>0.327777777777778</v>
      </c>
      <c r="D147" s="7">
        <v>0.70208333333333295</v>
      </c>
      <c r="E147" s="8">
        <f t="shared" si="8"/>
        <v>8.9833333333333183</v>
      </c>
      <c r="F147" s="8">
        <f t="shared" si="9"/>
        <v>0</v>
      </c>
      <c r="G147" s="8">
        <f t="shared" si="10"/>
        <v>0</v>
      </c>
      <c r="H147" s="4" t="str">
        <f t="shared" si="11"/>
        <v>On Time</v>
      </c>
    </row>
    <row r="148" spans="1:8" x14ac:dyDescent="0.3">
      <c r="A148" s="4" t="s">
        <v>51</v>
      </c>
      <c r="B148" s="5">
        <v>46205</v>
      </c>
      <c r="C148" s="7">
        <v>0.327083333333333</v>
      </c>
      <c r="D148" s="7">
        <v>0.7</v>
      </c>
      <c r="E148" s="8">
        <f t="shared" si="8"/>
        <v>8.9500000000000064</v>
      </c>
      <c r="F148" s="8">
        <f t="shared" si="9"/>
        <v>0</v>
      </c>
      <c r="G148" s="8">
        <f t="shared" si="10"/>
        <v>0</v>
      </c>
      <c r="H148" s="4" t="str">
        <f t="shared" si="11"/>
        <v>On Time</v>
      </c>
    </row>
    <row r="149" spans="1:8" x14ac:dyDescent="0.3">
      <c r="A149" s="4" t="s">
        <v>51</v>
      </c>
      <c r="B149" s="5">
        <v>46206</v>
      </c>
      <c r="C149" s="7">
        <v>0.31944444444444398</v>
      </c>
      <c r="D149" s="7">
        <v>0.76111111111111096</v>
      </c>
      <c r="E149" s="8">
        <f t="shared" si="8"/>
        <v>10.600000000000009</v>
      </c>
      <c r="F149" s="8">
        <f t="shared" si="9"/>
        <v>0</v>
      </c>
      <c r="G149" s="8">
        <f t="shared" si="10"/>
        <v>1.2666666666666622</v>
      </c>
      <c r="H149" s="4" t="str">
        <f t="shared" si="11"/>
        <v>On Time</v>
      </c>
    </row>
    <row r="150" spans="1:8" x14ac:dyDescent="0.3">
      <c r="A150" s="4" t="s">
        <v>51</v>
      </c>
      <c r="B150" s="5">
        <v>46207</v>
      </c>
      <c r="C150" s="7">
        <v>0.33472222222222198</v>
      </c>
      <c r="D150" s="7">
        <v>0.74097222222222203</v>
      </c>
      <c r="E150" s="8">
        <f t="shared" si="8"/>
        <v>9.7500000000000018</v>
      </c>
      <c r="F150" s="8">
        <f t="shared" si="9"/>
        <v>0</v>
      </c>
      <c r="G150" s="8">
        <f t="shared" si="10"/>
        <v>0.78333333333332789</v>
      </c>
      <c r="H150" s="4" t="str">
        <f t="shared" si="11"/>
        <v>On Time</v>
      </c>
    </row>
    <row r="151" spans="1:8" x14ac:dyDescent="0.3">
      <c r="A151" s="4" t="s">
        <v>51</v>
      </c>
      <c r="B151" s="5">
        <v>46208</v>
      </c>
      <c r="C151" s="7">
        <v>0.32083333333333303</v>
      </c>
      <c r="D151" s="7">
        <v>0.73055555555555596</v>
      </c>
      <c r="E151" s="8">
        <f t="shared" si="8"/>
        <v>9.8333333333333499</v>
      </c>
      <c r="F151" s="8">
        <f t="shared" si="9"/>
        <v>0</v>
      </c>
      <c r="G151" s="8">
        <f t="shared" si="10"/>
        <v>0.5333333333333421</v>
      </c>
      <c r="H151" s="4" t="str">
        <f t="shared" si="11"/>
        <v>On Time</v>
      </c>
    </row>
    <row r="152" spans="1:8" x14ac:dyDescent="0.3">
      <c r="A152" s="4" t="s">
        <v>51</v>
      </c>
      <c r="B152" s="5">
        <v>46209</v>
      </c>
      <c r="C152" s="7">
        <v>0.37916666666666698</v>
      </c>
      <c r="D152" s="7">
        <v>0.69861111111111096</v>
      </c>
      <c r="E152" s="8">
        <f t="shared" si="8"/>
        <v>7.6666666666666554</v>
      </c>
      <c r="F152" s="8">
        <f t="shared" si="9"/>
        <v>51.000000000000455</v>
      </c>
      <c r="G152" s="8">
        <f t="shared" si="10"/>
        <v>0</v>
      </c>
      <c r="H152" s="4" t="str">
        <f t="shared" si="11"/>
        <v>Late</v>
      </c>
    </row>
    <row r="153" spans="1:8" x14ac:dyDescent="0.3">
      <c r="A153" s="4" t="s">
        <v>51</v>
      </c>
      <c r="B153" s="5">
        <v>46210</v>
      </c>
      <c r="C153" s="7">
        <v>0.33333333333333298</v>
      </c>
      <c r="D153" s="7">
        <v>0.70208333333333295</v>
      </c>
      <c r="E153" s="8">
        <f t="shared" si="8"/>
        <v>8.85</v>
      </c>
      <c r="F153" s="8">
        <f t="shared" si="9"/>
        <v>0</v>
      </c>
      <c r="G153" s="8">
        <f t="shared" si="10"/>
        <v>0</v>
      </c>
      <c r="H153" s="4" t="str">
        <f t="shared" si="11"/>
        <v>On Time</v>
      </c>
    </row>
    <row r="154" spans="1:8" x14ac:dyDescent="0.3">
      <c r="A154" s="4" t="s">
        <v>51</v>
      </c>
      <c r="B154" s="5">
        <v>46211</v>
      </c>
      <c r="C154" s="7">
        <v>0.33263888888888898</v>
      </c>
      <c r="D154" s="7">
        <v>0.71111111111111103</v>
      </c>
      <c r="E154" s="8">
        <f t="shared" si="8"/>
        <v>9.0833333333333286</v>
      </c>
      <c r="F154" s="8">
        <f t="shared" si="9"/>
        <v>0</v>
      </c>
      <c r="G154" s="8">
        <f t="shared" si="10"/>
        <v>6.6666666666663765E-2</v>
      </c>
      <c r="H154" s="4" t="str">
        <f t="shared" si="11"/>
        <v>On Time</v>
      </c>
    </row>
    <row r="155" spans="1:8" x14ac:dyDescent="0.3">
      <c r="A155" s="4" t="s">
        <v>51</v>
      </c>
      <c r="B155" s="5">
        <v>46212</v>
      </c>
      <c r="C155" s="7">
        <v>0.34375</v>
      </c>
      <c r="D155" s="7">
        <v>0.70347222222222205</v>
      </c>
      <c r="E155" s="8">
        <f t="shared" si="8"/>
        <v>8.6333333333333293</v>
      </c>
      <c r="F155" s="8">
        <f t="shared" si="9"/>
        <v>0</v>
      </c>
      <c r="G155" s="8">
        <f t="shared" si="10"/>
        <v>0</v>
      </c>
      <c r="H155" s="4" t="str">
        <f t="shared" si="11"/>
        <v>On Time</v>
      </c>
    </row>
    <row r="156" spans="1:8" x14ac:dyDescent="0.3">
      <c r="A156" s="4" t="s">
        <v>51</v>
      </c>
      <c r="B156" s="5">
        <v>46213</v>
      </c>
      <c r="C156" s="7">
        <v>0.36458333333333298</v>
      </c>
      <c r="D156" s="7">
        <v>0.69722222222222197</v>
      </c>
      <c r="E156" s="8">
        <f t="shared" si="8"/>
        <v>7.9833333333333361</v>
      </c>
      <c r="F156" s="8">
        <f t="shared" si="9"/>
        <v>29.999999999999496</v>
      </c>
      <c r="G156" s="8">
        <f t="shared" si="10"/>
        <v>0</v>
      </c>
      <c r="H156" s="4" t="str">
        <f t="shared" si="11"/>
        <v>Late</v>
      </c>
    </row>
    <row r="157" spans="1:8" x14ac:dyDescent="0.3">
      <c r="A157" s="4" t="s">
        <v>53</v>
      </c>
      <c r="B157" s="5">
        <v>46205</v>
      </c>
      <c r="C157" s="7">
        <v>0.32152777777777802</v>
      </c>
      <c r="D157" s="7">
        <v>0.70694444444444504</v>
      </c>
      <c r="E157" s="8">
        <f t="shared" si="8"/>
        <v>9.2500000000000089</v>
      </c>
      <c r="F157" s="8">
        <f t="shared" si="9"/>
        <v>0</v>
      </c>
      <c r="G157" s="8">
        <f t="shared" si="10"/>
        <v>0</v>
      </c>
      <c r="H157" s="4" t="str">
        <f t="shared" si="11"/>
        <v>On Time</v>
      </c>
    </row>
    <row r="158" spans="1:8" x14ac:dyDescent="0.3">
      <c r="A158" s="4" t="s">
        <v>53</v>
      </c>
      <c r="B158" s="5">
        <v>46206</v>
      </c>
      <c r="C158" s="7">
        <v>0.33750000000000002</v>
      </c>
      <c r="D158" s="7">
        <v>0.70208333333333295</v>
      </c>
      <c r="E158" s="8">
        <f t="shared" si="8"/>
        <v>8.7499999999999893</v>
      </c>
      <c r="F158" s="8">
        <f t="shared" si="9"/>
        <v>0</v>
      </c>
      <c r="G158" s="8">
        <f t="shared" si="10"/>
        <v>0</v>
      </c>
      <c r="H158" s="4" t="str">
        <f t="shared" si="11"/>
        <v>On Time</v>
      </c>
    </row>
    <row r="159" spans="1:8" x14ac:dyDescent="0.3">
      <c r="A159" s="4" t="s">
        <v>53</v>
      </c>
      <c r="B159" s="5">
        <v>46207</v>
      </c>
      <c r="C159" s="7">
        <v>0.33680555555555602</v>
      </c>
      <c r="D159" s="7">
        <v>0.69861111111111096</v>
      </c>
      <c r="E159" s="8">
        <f t="shared" si="8"/>
        <v>8.6833333333333194</v>
      </c>
      <c r="F159" s="8">
        <f t="shared" si="9"/>
        <v>0</v>
      </c>
      <c r="G159" s="8">
        <f t="shared" si="10"/>
        <v>0</v>
      </c>
      <c r="H159" s="4" t="str">
        <f t="shared" si="11"/>
        <v>On Time</v>
      </c>
    </row>
    <row r="160" spans="1:8" x14ac:dyDescent="0.3">
      <c r="A160" s="4" t="s">
        <v>53</v>
      </c>
      <c r="B160" s="5">
        <v>46208</v>
      </c>
      <c r="C160" s="7">
        <v>0.33819444444444502</v>
      </c>
      <c r="D160" s="7">
        <v>0.70347222222222205</v>
      </c>
      <c r="E160" s="8">
        <f t="shared" si="8"/>
        <v>8.766666666666648</v>
      </c>
      <c r="F160" s="8">
        <f t="shared" si="9"/>
        <v>0</v>
      </c>
      <c r="G160" s="8">
        <f t="shared" si="10"/>
        <v>0</v>
      </c>
      <c r="H160" s="4" t="str">
        <f t="shared" si="11"/>
        <v>On Time</v>
      </c>
    </row>
    <row r="161" spans="1:8" x14ac:dyDescent="0.3">
      <c r="A161" s="4" t="s">
        <v>53</v>
      </c>
      <c r="B161" s="5">
        <v>46209</v>
      </c>
      <c r="C161" s="7">
        <v>0.35069444444444398</v>
      </c>
      <c r="D161" s="7">
        <v>0.70208333333333295</v>
      </c>
      <c r="E161" s="8">
        <f t="shared" si="8"/>
        <v>8.4333333333333353</v>
      </c>
      <c r="F161" s="8">
        <f t="shared" si="9"/>
        <v>9.999999999999325</v>
      </c>
      <c r="G161" s="8">
        <f t="shared" si="10"/>
        <v>0</v>
      </c>
      <c r="H161" s="4" t="str">
        <f t="shared" si="11"/>
        <v>Late</v>
      </c>
    </row>
    <row r="162" spans="1:8" x14ac:dyDescent="0.3">
      <c r="A162" s="4" t="s">
        <v>53</v>
      </c>
      <c r="B162" s="5">
        <v>46210</v>
      </c>
      <c r="C162" s="7">
        <v>0.32638888888888901</v>
      </c>
      <c r="D162" s="7">
        <v>0.71250000000000002</v>
      </c>
      <c r="E162" s="8">
        <f t="shared" si="8"/>
        <v>9.2666666666666639</v>
      </c>
      <c r="F162" s="8">
        <f t="shared" si="9"/>
        <v>0</v>
      </c>
      <c r="G162" s="8">
        <f t="shared" si="10"/>
        <v>9.9999999999999645E-2</v>
      </c>
      <c r="H162" s="4" t="str">
        <f t="shared" si="11"/>
        <v>On Time</v>
      </c>
    </row>
    <row r="163" spans="1:8" x14ac:dyDescent="0.3">
      <c r="A163" s="4" t="s">
        <v>53</v>
      </c>
      <c r="B163" s="5">
        <v>46211</v>
      </c>
      <c r="C163" s="7">
        <v>0.33680555555555602</v>
      </c>
      <c r="D163" s="7">
        <v>0.76319444444444395</v>
      </c>
      <c r="E163" s="8">
        <f t="shared" si="8"/>
        <v>10.233333333333309</v>
      </c>
      <c r="F163" s="8">
        <f t="shared" si="9"/>
        <v>0</v>
      </c>
      <c r="G163" s="8">
        <f t="shared" si="10"/>
        <v>1.316666666666654</v>
      </c>
      <c r="H163" s="4" t="str">
        <f t="shared" si="11"/>
        <v>On Time</v>
      </c>
    </row>
    <row r="164" spans="1:8" x14ac:dyDescent="0.3">
      <c r="A164" s="4" t="s">
        <v>53</v>
      </c>
      <c r="B164" s="5">
        <v>46212</v>
      </c>
      <c r="C164" s="7">
        <v>0.34166666666666701</v>
      </c>
      <c r="D164" s="7">
        <v>0.73888888888888904</v>
      </c>
      <c r="E164" s="8">
        <f t="shared" si="8"/>
        <v>9.5333333333333279</v>
      </c>
      <c r="F164" s="8">
        <f t="shared" si="9"/>
        <v>0</v>
      </c>
      <c r="G164" s="8">
        <f t="shared" si="10"/>
        <v>0.73333333333333606</v>
      </c>
      <c r="H164" s="4" t="str">
        <f t="shared" si="11"/>
        <v>On Time</v>
      </c>
    </row>
    <row r="165" spans="1:8" x14ac:dyDescent="0.3">
      <c r="A165" s="4" t="s">
        <v>53</v>
      </c>
      <c r="B165" s="5">
        <v>46213</v>
      </c>
      <c r="C165" s="7">
        <v>0.34236111111111101</v>
      </c>
      <c r="D165" s="7">
        <v>0.71388888888888902</v>
      </c>
      <c r="E165" s="8">
        <f t="shared" si="8"/>
        <v>8.9166666666666714</v>
      </c>
      <c r="F165" s="8">
        <f t="shared" si="9"/>
        <v>0</v>
      </c>
      <c r="G165" s="8">
        <f t="shared" si="10"/>
        <v>0.13333333333333552</v>
      </c>
      <c r="H165" s="4" t="str">
        <f t="shared" si="11"/>
        <v>On Time</v>
      </c>
    </row>
    <row r="166" spans="1:8" x14ac:dyDescent="0.3">
      <c r="A166" s="4" t="s">
        <v>55</v>
      </c>
      <c r="B166" s="5">
        <v>46204</v>
      </c>
      <c r="C166" s="7">
        <v>0.32638888888888901</v>
      </c>
      <c r="D166" s="7">
        <v>0.69930555555555596</v>
      </c>
      <c r="E166" s="8">
        <f t="shared" si="8"/>
        <v>8.9500000000000064</v>
      </c>
      <c r="F166" s="8">
        <f t="shared" si="9"/>
        <v>0</v>
      </c>
      <c r="G166" s="8">
        <f t="shared" si="10"/>
        <v>0</v>
      </c>
      <c r="H166" s="4" t="str">
        <f t="shared" si="11"/>
        <v>On Time</v>
      </c>
    </row>
    <row r="167" spans="1:8" x14ac:dyDescent="0.3">
      <c r="A167" s="4" t="s">
        <v>55</v>
      </c>
      <c r="B167" s="5">
        <v>46205</v>
      </c>
      <c r="C167" s="7">
        <v>0.327777777777778</v>
      </c>
      <c r="D167" s="7">
        <v>0.69791666666666696</v>
      </c>
      <c r="E167" s="8">
        <f t="shared" si="8"/>
        <v>8.8833333333333346</v>
      </c>
      <c r="F167" s="8">
        <f t="shared" si="9"/>
        <v>0</v>
      </c>
      <c r="G167" s="8">
        <f t="shared" si="10"/>
        <v>0</v>
      </c>
      <c r="H167" s="4" t="str">
        <f t="shared" si="11"/>
        <v>On Time</v>
      </c>
    </row>
    <row r="168" spans="1:8" x14ac:dyDescent="0.3">
      <c r="A168" s="4" t="s">
        <v>55</v>
      </c>
      <c r="B168" s="5">
        <v>46206</v>
      </c>
      <c r="C168" s="7">
        <v>0.32083333333333303</v>
      </c>
      <c r="D168" s="7">
        <v>0.70555555555555605</v>
      </c>
      <c r="E168" s="8">
        <f t="shared" si="8"/>
        <v>9.233333333333352</v>
      </c>
      <c r="F168" s="8">
        <f t="shared" si="9"/>
        <v>0</v>
      </c>
      <c r="G168" s="8">
        <f t="shared" si="10"/>
        <v>0</v>
      </c>
      <c r="H168" s="4" t="str">
        <f t="shared" si="11"/>
        <v>On Time</v>
      </c>
    </row>
    <row r="169" spans="1:8" x14ac:dyDescent="0.3">
      <c r="A169" s="4" t="s">
        <v>55</v>
      </c>
      <c r="B169" s="5">
        <v>46207</v>
      </c>
      <c r="C169" s="7">
        <v>0.33472222222222198</v>
      </c>
      <c r="D169" s="7">
        <v>0.72986111111111096</v>
      </c>
      <c r="E169" s="8">
        <f t="shared" si="8"/>
        <v>9.4833333333333361</v>
      </c>
      <c r="F169" s="8">
        <f t="shared" si="9"/>
        <v>0</v>
      </c>
      <c r="G169" s="8">
        <f t="shared" si="10"/>
        <v>0.51666666666666217</v>
      </c>
      <c r="H169" s="4" t="str">
        <f t="shared" si="11"/>
        <v>On Time</v>
      </c>
    </row>
    <row r="170" spans="1:8" x14ac:dyDescent="0.3">
      <c r="A170" s="4" t="s">
        <v>55</v>
      </c>
      <c r="B170" s="5">
        <v>46208</v>
      </c>
      <c r="C170" s="7">
        <v>0.327777777777778</v>
      </c>
      <c r="D170" s="7">
        <v>0.75763888888888897</v>
      </c>
      <c r="E170" s="8">
        <f t="shared" si="8"/>
        <v>10.316666666666663</v>
      </c>
      <c r="F170" s="8">
        <f t="shared" si="9"/>
        <v>0</v>
      </c>
      <c r="G170" s="8">
        <f t="shared" si="10"/>
        <v>1.1833333333333345</v>
      </c>
      <c r="H170" s="4" t="str">
        <f t="shared" si="11"/>
        <v>On Time</v>
      </c>
    </row>
    <row r="171" spans="1:8" x14ac:dyDescent="0.3">
      <c r="A171" s="4" t="s">
        <v>55</v>
      </c>
      <c r="B171" s="5">
        <v>46209</v>
      </c>
      <c r="C171" s="7">
        <v>0.32083333333333303</v>
      </c>
      <c r="D171" s="7">
        <v>0.70138888888888895</v>
      </c>
      <c r="E171" s="8">
        <f t="shared" si="8"/>
        <v>9.1333333333333417</v>
      </c>
      <c r="F171" s="8">
        <f t="shared" si="9"/>
        <v>0</v>
      </c>
      <c r="G171" s="8">
        <f t="shared" si="10"/>
        <v>0</v>
      </c>
      <c r="H171" s="4" t="str">
        <f t="shared" si="11"/>
        <v>On Time</v>
      </c>
    </row>
    <row r="172" spans="1:8" x14ac:dyDescent="0.3">
      <c r="A172" s="4" t="s">
        <v>55</v>
      </c>
      <c r="B172" s="5">
        <v>46210</v>
      </c>
      <c r="C172" s="7">
        <v>0.37361111111111101</v>
      </c>
      <c r="D172" s="7">
        <v>0.70833333333333304</v>
      </c>
      <c r="E172" s="8">
        <f t="shared" si="8"/>
        <v>8.0333333333333279</v>
      </c>
      <c r="F172" s="8">
        <f t="shared" si="9"/>
        <v>42.999999999999844</v>
      </c>
      <c r="G172" s="8">
        <f t="shared" si="10"/>
        <v>0</v>
      </c>
      <c r="H172" s="4" t="str">
        <f t="shared" si="11"/>
        <v>Late</v>
      </c>
    </row>
    <row r="173" spans="1:8" x14ac:dyDescent="0.3">
      <c r="A173" s="4" t="s">
        <v>55</v>
      </c>
      <c r="B173" s="5">
        <v>46211</v>
      </c>
      <c r="C173" s="7">
        <v>0.33750000000000002</v>
      </c>
      <c r="D173" s="7">
        <v>0.69930555555555596</v>
      </c>
      <c r="E173" s="8">
        <f t="shared" si="8"/>
        <v>8.6833333333333425</v>
      </c>
      <c r="F173" s="8">
        <f t="shared" si="9"/>
        <v>0</v>
      </c>
      <c r="G173" s="8">
        <f t="shared" si="10"/>
        <v>0</v>
      </c>
      <c r="H173" s="4" t="str">
        <f t="shared" si="11"/>
        <v>On Time</v>
      </c>
    </row>
    <row r="174" spans="1:8" x14ac:dyDescent="0.3">
      <c r="A174" s="4" t="s">
        <v>55</v>
      </c>
      <c r="B174" s="5">
        <v>46212</v>
      </c>
      <c r="C174" s="7">
        <v>0.33541666666666697</v>
      </c>
      <c r="D174" s="7">
        <v>0.70416666666666705</v>
      </c>
      <c r="E174" s="8">
        <f t="shared" si="8"/>
        <v>8.8500000000000014</v>
      </c>
      <c r="F174" s="8">
        <f t="shared" si="9"/>
        <v>0</v>
      </c>
      <c r="G174" s="8">
        <f t="shared" si="10"/>
        <v>0</v>
      </c>
      <c r="H174" s="4" t="str">
        <f t="shared" si="11"/>
        <v>On Time</v>
      </c>
    </row>
    <row r="175" spans="1:8" x14ac:dyDescent="0.3">
      <c r="A175" s="4" t="s">
        <v>55</v>
      </c>
      <c r="B175" s="5">
        <v>46213</v>
      </c>
      <c r="C175" s="7">
        <v>0.31944444444444398</v>
      </c>
      <c r="D175" s="7">
        <v>0.70486111111111105</v>
      </c>
      <c r="E175" s="8">
        <f t="shared" si="8"/>
        <v>9.2500000000000107</v>
      </c>
      <c r="F175" s="8">
        <f t="shared" si="9"/>
        <v>0</v>
      </c>
      <c r="G175" s="8">
        <f t="shared" si="10"/>
        <v>0</v>
      </c>
      <c r="H175" s="4" t="str">
        <f t="shared" si="11"/>
        <v>On Time</v>
      </c>
    </row>
    <row r="176" spans="1:8" x14ac:dyDescent="0.3">
      <c r="A176" s="4" t="s">
        <v>58</v>
      </c>
      <c r="B176" s="5">
        <v>46204</v>
      </c>
      <c r="C176" s="7">
        <v>0.32291666666666702</v>
      </c>
      <c r="D176" s="7">
        <v>0.70555555555555605</v>
      </c>
      <c r="E176" s="8">
        <f t="shared" si="8"/>
        <v>9.1833333333333371</v>
      </c>
      <c r="F176" s="8">
        <f t="shared" si="9"/>
        <v>0</v>
      </c>
      <c r="G176" s="8">
        <f t="shared" si="10"/>
        <v>0</v>
      </c>
      <c r="H176" s="4" t="str">
        <f t="shared" si="11"/>
        <v>On Time</v>
      </c>
    </row>
    <row r="177" spans="1:8" x14ac:dyDescent="0.3">
      <c r="A177" s="4" t="s">
        <v>58</v>
      </c>
      <c r="B177" s="5">
        <v>46205</v>
      </c>
      <c r="C177" s="7">
        <v>0.32083333333333303</v>
      </c>
      <c r="D177" s="7">
        <v>0.719444444444444</v>
      </c>
      <c r="E177" s="8">
        <f t="shared" si="8"/>
        <v>9.5666666666666629</v>
      </c>
      <c r="F177" s="8">
        <f t="shared" si="9"/>
        <v>0</v>
      </c>
      <c r="G177" s="8">
        <f t="shared" si="10"/>
        <v>0.26666666666665506</v>
      </c>
      <c r="H177" s="4" t="str">
        <f t="shared" si="11"/>
        <v>On Time</v>
      </c>
    </row>
    <row r="178" spans="1:8" x14ac:dyDescent="0.3">
      <c r="A178" s="4" t="s">
        <v>58</v>
      </c>
      <c r="B178" s="5">
        <v>46206</v>
      </c>
      <c r="C178" s="7">
        <v>0.37916666666666698</v>
      </c>
      <c r="D178" s="7">
        <v>0.70555555555555605</v>
      </c>
      <c r="E178" s="8">
        <f t="shared" si="8"/>
        <v>7.8333333333333375</v>
      </c>
      <c r="F178" s="8">
        <f t="shared" si="9"/>
        <v>51.000000000000455</v>
      </c>
      <c r="G178" s="8">
        <f t="shared" si="10"/>
        <v>0</v>
      </c>
      <c r="H178" s="4" t="str">
        <f t="shared" si="11"/>
        <v>Late</v>
      </c>
    </row>
    <row r="179" spans="1:8" x14ac:dyDescent="0.3">
      <c r="A179" s="4" t="s">
        <v>58</v>
      </c>
      <c r="B179" s="5">
        <v>46207</v>
      </c>
      <c r="C179" s="7">
        <v>0.38055555555555598</v>
      </c>
      <c r="D179" s="7">
        <v>0.70277777777777795</v>
      </c>
      <c r="E179" s="8">
        <f t="shared" si="8"/>
        <v>7.7333333333333272</v>
      </c>
      <c r="F179" s="8">
        <f t="shared" si="9"/>
        <v>53.000000000000611</v>
      </c>
      <c r="G179" s="8">
        <f t="shared" si="10"/>
        <v>0</v>
      </c>
      <c r="H179" s="4" t="str">
        <f t="shared" si="11"/>
        <v>Late</v>
      </c>
    </row>
    <row r="180" spans="1:8" x14ac:dyDescent="0.3">
      <c r="A180" s="4" t="s">
        <v>58</v>
      </c>
      <c r="B180" s="5">
        <v>46208</v>
      </c>
      <c r="C180" s="7">
        <v>0.32500000000000001</v>
      </c>
      <c r="D180" s="7">
        <v>0.71388888888888902</v>
      </c>
      <c r="E180" s="8">
        <f t="shared" si="8"/>
        <v>9.3333333333333357</v>
      </c>
      <c r="F180" s="8">
        <f t="shared" si="9"/>
        <v>0</v>
      </c>
      <c r="G180" s="8">
        <f t="shared" si="10"/>
        <v>0.13333333333333552</v>
      </c>
      <c r="H180" s="4" t="str">
        <f t="shared" si="11"/>
        <v>On Time</v>
      </c>
    </row>
    <row r="181" spans="1:8" x14ac:dyDescent="0.3">
      <c r="A181" s="4" t="s">
        <v>58</v>
      </c>
      <c r="B181" s="5">
        <v>46209</v>
      </c>
      <c r="C181" s="7">
        <v>0.32430555555555601</v>
      </c>
      <c r="D181" s="7">
        <v>0.78680555555555598</v>
      </c>
      <c r="E181" s="8">
        <f t="shared" si="8"/>
        <v>11.1</v>
      </c>
      <c r="F181" s="8">
        <f t="shared" si="9"/>
        <v>0</v>
      </c>
      <c r="G181" s="8">
        <f t="shared" si="10"/>
        <v>1.8833333333333426</v>
      </c>
      <c r="H181" s="4" t="str">
        <f t="shared" si="11"/>
        <v>On Time</v>
      </c>
    </row>
    <row r="182" spans="1:8" x14ac:dyDescent="0.3">
      <c r="A182" s="4" t="s">
        <v>58</v>
      </c>
      <c r="B182" s="5">
        <v>46210</v>
      </c>
      <c r="C182" s="7">
        <v>0.32638888888888901</v>
      </c>
      <c r="D182" s="7">
        <v>0.69930555555555596</v>
      </c>
      <c r="E182" s="8">
        <f t="shared" si="8"/>
        <v>8.9500000000000064</v>
      </c>
      <c r="F182" s="8">
        <f t="shared" si="9"/>
        <v>0</v>
      </c>
      <c r="G182" s="8">
        <f t="shared" si="10"/>
        <v>0</v>
      </c>
      <c r="H182" s="4" t="str">
        <f t="shared" si="11"/>
        <v>On Time</v>
      </c>
    </row>
    <row r="183" spans="1:8" x14ac:dyDescent="0.3">
      <c r="A183" s="4" t="s">
        <v>58</v>
      </c>
      <c r="B183" s="5">
        <v>46211</v>
      </c>
      <c r="C183" s="7">
        <v>0.36249999999999999</v>
      </c>
      <c r="D183" s="7">
        <v>0.7</v>
      </c>
      <c r="E183" s="8">
        <f t="shared" si="8"/>
        <v>8.1</v>
      </c>
      <c r="F183" s="8">
        <f t="shared" si="9"/>
        <v>26.999999999999986</v>
      </c>
      <c r="G183" s="8">
        <f t="shared" si="10"/>
        <v>0</v>
      </c>
      <c r="H183" s="4" t="str">
        <f t="shared" si="11"/>
        <v>Late</v>
      </c>
    </row>
    <row r="184" spans="1:8" x14ac:dyDescent="0.3">
      <c r="A184" s="4" t="s">
        <v>58</v>
      </c>
      <c r="B184" s="5">
        <v>46212</v>
      </c>
      <c r="C184" s="7">
        <v>0.33124999999999999</v>
      </c>
      <c r="D184" s="7">
        <v>0.70416666666666705</v>
      </c>
      <c r="E184" s="8">
        <f t="shared" si="8"/>
        <v>8.9500000000000099</v>
      </c>
      <c r="F184" s="8">
        <f t="shared" si="9"/>
        <v>0</v>
      </c>
      <c r="G184" s="8">
        <f t="shared" si="10"/>
        <v>0</v>
      </c>
      <c r="H184" s="4" t="str">
        <f t="shared" si="11"/>
        <v>On Time</v>
      </c>
    </row>
    <row r="185" spans="1:8" x14ac:dyDescent="0.3">
      <c r="A185" s="4" t="s">
        <v>58</v>
      </c>
      <c r="B185" s="5">
        <v>46213</v>
      </c>
      <c r="C185" s="7">
        <v>0.36944444444444502</v>
      </c>
      <c r="D185" s="7">
        <v>0.70486111111111105</v>
      </c>
      <c r="E185" s="8">
        <f t="shared" si="8"/>
        <v>8.0499999999999847</v>
      </c>
      <c r="F185" s="8">
        <f t="shared" si="9"/>
        <v>37.000000000000824</v>
      </c>
      <c r="G185" s="8">
        <f t="shared" si="10"/>
        <v>0</v>
      </c>
      <c r="H185" s="4" t="str">
        <f t="shared" si="11"/>
        <v>Late</v>
      </c>
    </row>
    <row r="186" spans="1:8" x14ac:dyDescent="0.3">
      <c r="A186" s="4" t="s">
        <v>60</v>
      </c>
      <c r="B186" s="5">
        <v>46204</v>
      </c>
      <c r="C186" s="7">
        <v>0.33124999999999999</v>
      </c>
      <c r="D186" s="7">
        <v>0.70277777777777795</v>
      </c>
      <c r="E186" s="8">
        <f t="shared" si="8"/>
        <v>8.9166666666666714</v>
      </c>
      <c r="F186" s="8">
        <f t="shared" si="9"/>
        <v>0</v>
      </c>
      <c r="G186" s="8">
        <f t="shared" si="10"/>
        <v>0</v>
      </c>
      <c r="H186" s="4" t="str">
        <f t="shared" si="11"/>
        <v>On Time</v>
      </c>
    </row>
    <row r="187" spans="1:8" x14ac:dyDescent="0.3">
      <c r="A187" s="4" t="s">
        <v>60</v>
      </c>
      <c r="B187" s="5">
        <v>46205</v>
      </c>
      <c r="C187" s="7">
        <v>0.33055555555555599</v>
      </c>
      <c r="D187" s="7">
        <v>0.75486111111111098</v>
      </c>
      <c r="E187" s="8">
        <f t="shared" si="8"/>
        <v>10.183333333333319</v>
      </c>
      <c r="F187" s="8">
        <f t="shared" si="9"/>
        <v>0</v>
      </c>
      <c r="G187" s="8">
        <f t="shared" si="10"/>
        <v>1.1166666666666627</v>
      </c>
      <c r="H187" s="4" t="str">
        <f t="shared" si="11"/>
        <v>On Time</v>
      </c>
    </row>
    <row r="188" spans="1:8" x14ac:dyDescent="0.3">
      <c r="A188" s="4" t="s">
        <v>60</v>
      </c>
      <c r="B188" s="5">
        <v>46206</v>
      </c>
      <c r="C188" s="7">
        <v>0.38472222222222202</v>
      </c>
      <c r="D188" s="7">
        <v>0.70416666666666705</v>
      </c>
      <c r="E188" s="8">
        <f t="shared" si="8"/>
        <v>7.6666666666666803</v>
      </c>
      <c r="F188" s="8">
        <f t="shared" si="9"/>
        <v>58.999999999999709</v>
      </c>
      <c r="G188" s="8">
        <f t="shared" si="10"/>
        <v>0</v>
      </c>
      <c r="H188" s="4" t="str">
        <f t="shared" si="11"/>
        <v>Late</v>
      </c>
    </row>
    <row r="189" spans="1:8" x14ac:dyDescent="0.3">
      <c r="A189" s="4" t="s">
        <v>60</v>
      </c>
      <c r="B189" s="5">
        <v>46207</v>
      </c>
      <c r="C189" s="7">
        <v>0.32361111111111102</v>
      </c>
      <c r="D189" s="7">
        <v>0.70625000000000004</v>
      </c>
      <c r="E189" s="8">
        <f t="shared" si="8"/>
        <v>9.1833333333333371</v>
      </c>
      <c r="F189" s="8">
        <f t="shared" si="9"/>
        <v>0</v>
      </c>
      <c r="G189" s="8">
        <f t="shared" si="10"/>
        <v>0</v>
      </c>
      <c r="H189" s="4" t="str">
        <f t="shared" si="11"/>
        <v>On Time</v>
      </c>
    </row>
    <row r="190" spans="1:8" x14ac:dyDescent="0.3">
      <c r="A190" s="4" t="s">
        <v>60</v>
      </c>
      <c r="B190" s="5">
        <v>46208</v>
      </c>
      <c r="C190" s="7">
        <v>0.33680555555555602</v>
      </c>
      <c r="D190" s="7">
        <v>0.70208333333333295</v>
      </c>
      <c r="E190" s="8">
        <f t="shared" si="8"/>
        <v>8.7666666666666462</v>
      </c>
      <c r="F190" s="8">
        <f t="shared" si="9"/>
        <v>0</v>
      </c>
      <c r="G190" s="8">
        <f t="shared" si="10"/>
        <v>0</v>
      </c>
      <c r="H190" s="4" t="str">
        <f t="shared" si="11"/>
        <v>On Time</v>
      </c>
    </row>
    <row r="191" spans="1:8" x14ac:dyDescent="0.3">
      <c r="A191" s="4" t="s">
        <v>60</v>
      </c>
      <c r="B191" s="5">
        <v>46209</v>
      </c>
      <c r="C191" s="7">
        <v>0.33541666666666697</v>
      </c>
      <c r="D191" s="7">
        <v>0.70208333333333295</v>
      </c>
      <c r="E191" s="8">
        <f t="shared" si="8"/>
        <v>8.7999999999999829</v>
      </c>
      <c r="F191" s="8">
        <f t="shared" si="9"/>
        <v>0</v>
      </c>
      <c r="G191" s="8">
        <f t="shared" si="10"/>
        <v>0</v>
      </c>
      <c r="H191" s="4" t="str">
        <f t="shared" si="11"/>
        <v>On Time</v>
      </c>
    </row>
    <row r="192" spans="1:8" x14ac:dyDescent="0.3">
      <c r="A192" s="4" t="s">
        <v>60</v>
      </c>
      <c r="B192" s="5">
        <v>46210</v>
      </c>
      <c r="C192" s="7">
        <v>0.32291666666666702</v>
      </c>
      <c r="D192" s="7">
        <v>0.69791666666666696</v>
      </c>
      <c r="E192" s="8">
        <f t="shared" si="8"/>
        <v>8.9999999999999982</v>
      </c>
      <c r="F192" s="8">
        <f t="shared" si="9"/>
        <v>0</v>
      </c>
      <c r="G192" s="8">
        <f t="shared" si="10"/>
        <v>0</v>
      </c>
      <c r="H192" s="4" t="str">
        <f t="shared" si="11"/>
        <v>On Time</v>
      </c>
    </row>
    <row r="193" spans="1:8" x14ac:dyDescent="0.3">
      <c r="A193" s="4" t="s">
        <v>60</v>
      </c>
      <c r="B193" s="5">
        <v>46211</v>
      </c>
      <c r="C193" s="7">
        <v>0.32152777777777802</v>
      </c>
      <c r="D193" s="7">
        <v>0.70555555555555605</v>
      </c>
      <c r="E193" s="8">
        <f t="shared" si="8"/>
        <v>9.2166666666666721</v>
      </c>
      <c r="F193" s="8">
        <f t="shared" si="9"/>
        <v>0</v>
      </c>
      <c r="G193" s="8">
        <f t="shared" si="10"/>
        <v>0</v>
      </c>
      <c r="H193" s="4" t="str">
        <f t="shared" si="11"/>
        <v>On Time</v>
      </c>
    </row>
    <row r="194" spans="1:8" x14ac:dyDescent="0.3">
      <c r="A194" s="4" t="s">
        <v>60</v>
      </c>
      <c r="B194" s="5">
        <v>46212</v>
      </c>
      <c r="C194" s="7">
        <v>0.33333333333333298</v>
      </c>
      <c r="D194" s="7">
        <v>0.69513888888888897</v>
      </c>
      <c r="E194" s="8">
        <f t="shared" ref="E194:E257" si="12">(D194-C194)*24</f>
        <v>8.6833333333333442</v>
      </c>
      <c r="F194" s="8">
        <f t="shared" ref="F194:F257" si="13">IF(C194&gt;TIME(8,15,0),(C194-TIME(8,15,0))*1440,0)</f>
        <v>0</v>
      </c>
      <c r="G194" s="8">
        <f t="shared" ref="G194:G257" si="14">IF(D194&gt;TIME(17,0,0),(D194-TIME(17,0,0))*24,0)</f>
        <v>0</v>
      </c>
      <c r="H194" s="4" t="str">
        <f t="shared" ref="H194:H257" si="15">IF(C194&gt;TIME(8,15,0),"Late","On Time")</f>
        <v>On Time</v>
      </c>
    </row>
    <row r="195" spans="1:8" x14ac:dyDescent="0.3">
      <c r="A195" s="4" t="s">
        <v>60</v>
      </c>
      <c r="B195" s="5">
        <v>46213</v>
      </c>
      <c r="C195" s="7">
        <v>0.33194444444444399</v>
      </c>
      <c r="D195" s="7">
        <v>0.70347222222222205</v>
      </c>
      <c r="E195" s="8">
        <f t="shared" si="12"/>
        <v>8.9166666666666732</v>
      </c>
      <c r="F195" s="8">
        <f t="shared" si="13"/>
        <v>0</v>
      </c>
      <c r="G195" s="8">
        <f t="shared" si="14"/>
        <v>0</v>
      </c>
      <c r="H195" s="4" t="str">
        <f t="shared" si="15"/>
        <v>On Time</v>
      </c>
    </row>
    <row r="196" spans="1:8" x14ac:dyDescent="0.3">
      <c r="A196" s="4" t="s">
        <v>63</v>
      </c>
      <c r="B196" s="5">
        <v>46204</v>
      </c>
      <c r="C196" s="7">
        <v>0.33263888888888898</v>
      </c>
      <c r="D196" s="7">
        <v>0.73958333333333304</v>
      </c>
      <c r="E196" s="8">
        <f t="shared" si="12"/>
        <v>9.7666666666666568</v>
      </c>
      <c r="F196" s="8">
        <f t="shared" si="13"/>
        <v>0</v>
      </c>
      <c r="G196" s="8">
        <f t="shared" si="14"/>
        <v>0.74999999999999201</v>
      </c>
      <c r="H196" s="4" t="str">
        <f t="shared" si="15"/>
        <v>On Time</v>
      </c>
    </row>
    <row r="197" spans="1:8" x14ac:dyDescent="0.3">
      <c r="A197" s="4" t="s">
        <v>63</v>
      </c>
      <c r="B197" s="5">
        <v>46205</v>
      </c>
      <c r="C197" s="7">
        <v>0.33750000000000002</v>
      </c>
      <c r="D197" s="7">
        <v>0.70694444444444504</v>
      </c>
      <c r="E197" s="8">
        <f t="shared" si="12"/>
        <v>8.8666666666666814</v>
      </c>
      <c r="F197" s="8">
        <f t="shared" si="13"/>
        <v>0</v>
      </c>
      <c r="G197" s="8">
        <f t="shared" si="14"/>
        <v>0</v>
      </c>
      <c r="H197" s="4" t="str">
        <f t="shared" si="15"/>
        <v>On Time</v>
      </c>
    </row>
    <row r="198" spans="1:8" x14ac:dyDescent="0.3">
      <c r="A198" s="4" t="s">
        <v>63</v>
      </c>
      <c r="B198" s="5">
        <v>46206</v>
      </c>
      <c r="C198" s="7">
        <v>0.36319444444444399</v>
      </c>
      <c r="D198" s="7">
        <v>0.70486111111111105</v>
      </c>
      <c r="E198" s="8">
        <f t="shared" si="12"/>
        <v>8.2000000000000099</v>
      </c>
      <c r="F198" s="8">
        <f t="shared" si="13"/>
        <v>27.999999999999339</v>
      </c>
      <c r="G198" s="8">
        <f t="shared" si="14"/>
        <v>0</v>
      </c>
      <c r="H198" s="4" t="str">
        <f t="shared" si="15"/>
        <v>Late</v>
      </c>
    </row>
    <row r="199" spans="1:8" x14ac:dyDescent="0.3">
      <c r="A199" s="4" t="s">
        <v>63</v>
      </c>
      <c r="B199" s="5">
        <v>46207</v>
      </c>
      <c r="C199" s="7">
        <v>0.31944444444444398</v>
      </c>
      <c r="D199" s="7">
        <v>0.69930555555555596</v>
      </c>
      <c r="E199" s="8">
        <f t="shared" si="12"/>
        <v>9.1166666666666885</v>
      </c>
      <c r="F199" s="8">
        <f t="shared" si="13"/>
        <v>0</v>
      </c>
      <c r="G199" s="8">
        <f t="shared" si="14"/>
        <v>0</v>
      </c>
      <c r="H199" s="4" t="str">
        <f t="shared" si="15"/>
        <v>On Time</v>
      </c>
    </row>
    <row r="200" spans="1:8" x14ac:dyDescent="0.3">
      <c r="A200" s="4" t="s">
        <v>63</v>
      </c>
      <c r="B200" s="5">
        <v>46208</v>
      </c>
      <c r="C200" s="7">
        <v>0.33888888888888902</v>
      </c>
      <c r="D200" s="7">
        <v>0.76458333333333295</v>
      </c>
      <c r="E200" s="8">
        <f t="shared" si="12"/>
        <v>10.216666666666654</v>
      </c>
      <c r="F200" s="8">
        <f t="shared" si="13"/>
        <v>0</v>
      </c>
      <c r="G200" s="8">
        <f t="shared" si="14"/>
        <v>1.3499999999999899</v>
      </c>
      <c r="H200" s="4" t="str">
        <f t="shared" si="15"/>
        <v>On Time</v>
      </c>
    </row>
    <row r="201" spans="1:8" x14ac:dyDescent="0.3">
      <c r="A201" s="4" t="s">
        <v>63</v>
      </c>
      <c r="B201" s="5">
        <v>46209</v>
      </c>
      <c r="C201" s="7">
        <v>0.37638888888888899</v>
      </c>
      <c r="D201" s="7">
        <v>0.70277777777777795</v>
      </c>
      <c r="E201" s="8">
        <f t="shared" si="12"/>
        <v>7.8333333333333348</v>
      </c>
      <c r="F201" s="8">
        <f t="shared" si="13"/>
        <v>47.000000000000156</v>
      </c>
      <c r="G201" s="8">
        <f t="shared" si="14"/>
        <v>0</v>
      </c>
      <c r="H201" s="4" t="str">
        <f t="shared" si="15"/>
        <v>Late</v>
      </c>
    </row>
    <row r="202" spans="1:8" x14ac:dyDescent="0.3">
      <c r="A202" s="4" t="s">
        <v>63</v>
      </c>
      <c r="B202" s="5">
        <v>46210</v>
      </c>
      <c r="C202" s="7">
        <v>0.31944444444444398</v>
      </c>
      <c r="D202" s="7">
        <v>0.78125</v>
      </c>
      <c r="E202" s="8">
        <f t="shared" si="12"/>
        <v>11.083333333333345</v>
      </c>
      <c r="F202" s="8">
        <f t="shared" si="13"/>
        <v>0</v>
      </c>
      <c r="G202" s="8">
        <f t="shared" si="14"/>
        <v>1.7499999999999991</v>
      </c>
      <c r="H202" s="4" t="str">
        <f t="shared" si="15"/>
        <v>On Time</v>
      </c>
    </row>
    <row r="203" spans="1:8" x14ac:dyDescent="0.3">
      <c r="A203" s="4" t="s">
        <v>63</v>
      </c>
      <c r="B203" s="5">
        <v>46211</v>
      </c>
      <c r="C203" s="7">
        <v>0.33472222222222198</v>
      </c>
      <c r="D203" s="7">
        <v>0.70694444444444504</v>
      </c>
      <c r="E203" s="8">
        <f t="shared" si="12"/>
        <v>8.9333333333333531</v>
      </c>
      <c r="F203" s="8">
        <f t="shared" si="13"/>
        <v>0</v>
      </c>
      <c r="G203" s="8">
        <f t="shared" si="14"/>
        <v>0</v>
      </c>
      <c r="H203" s="4" t="str">
        <f t="shared" si="15"/>
        <v>On Time</v>
      </c>
    </row>
    <row r="204" spans="1:8" x14ac:dyDescent="0.3">
      <c r="A204" s="4" t="s">
        <v>63</v>
      </c>
      <c r="B204" s="5">
        <v>46212</v>
      </c>
      <c r="C204" s="7">
        <v>0.34236111111111101</v>
      </c>
      <c r="D204" s="7">
        <v>0.69930555555555596</v>
      </c>
      <c r="E204" s="8">
        <f t="shared" si="12"/>
        <v>8.5666666666666789</v>
      </c>
      <c r="F204" s="8">
        <f t="shared" si="13"/>
        <v>0</v>
      </c>
      <c r="G204" s="8">
        <f t="shared" si="14"/>
        <v>0</v>
      </c>
      <c r="H204" s="4" t="str">
        <f t="shared" si="15"/>
        <v>On Time</v>
      </c>
    </row>
    <row r="205" spans="1:8" x14ac:dyDescent="0.3">
      <c r="A205" s="4" t="s">
        <v>63</v>
      </c>
      <c r="B205" s="5">
        <v>46213</v>
      </c>
      <c r="C205" s="7">
        <v>0.31944444444444398</v>
      </c>
      <c r="D205" s="7">
        <v>0.75555555555555598</v>
      </c>
      <c r="E205" s="8">
        <f t="shared" si="12"/>
        <v>10.466666666666688</v>
      </c>
      <c r="F205" s="8">
        <f t="shared" si="13"/>
        <v>0</v>
      </c>
      <c r="G205" s="8">
        <f t="shared" si="14"/>
        <v>1.1333333333333426</v>
      </c>
      <c r="H205" s="4" t="str">
        <f t="shared" si="15"/>
        <v>On Time</v>
      </c>
    </row>
    <row r="206" spans="1:8" x14ac:dyDescent="0.3">
      <c r="A206" s="4" t="s">
        <v>65</v>
      </c>
      <c r="B206" s="5">
        <v>46204</v>
      </c>
      <c r="C206" s="7">
        <v>0.34166666666666701</v>
      </c>
      <c r="D206" s="7">
        <v>0.70347222222222205</v>
      </c>
      <c r="E206" s="8">
        <f t="shared" si="12"/>
        <v>8.6833333333333211</v>
      </c>
      <c r="F206" s="8">
        <f t="shared" si="13"/>
        <v>0</v>
      </c>
      <c r="G206" s="8">
        <f t="shared" si="14"/>
        <v>0</v>
      </c>
      <c r="H206" s="4" t="str">
        <f t="shared" si="15"/>
        <v>On Time</v>
      </c>
    </row>
    <row r="207" spans="1:8" x14ac:dyDescent="0.3">
      <c r="A207" s="4" t="s">
        <v>65</v>
      </c>
      <c r="B207" s="5">
        <v>46205</v>
      </c>
      <c r="C207" s="7">
        <v>0.327083333333333</v>
      </c>
      <c r="D207" s="7">
        <v>0.69583333333333297</v>
      </c>
      <c r="E207" s="8">
        <f t="shared" si="12"/>
        <v>8.85</v>
      </c>
      <c r="F207" s="8">
        <f t="shared" si="13"/>
        <v>0</v>
      </c>
      <c r="G207" s="8">
        <f t="shared" si="14"/>
        <v>0</v>
      </c>
      <c r="H207" s="4" t="str">
        <f t="shared" si="15"/>
        <v>On Time</v>
      </c>
    </row>
    <row r="208" spans="1:8" x14ac:dyDescent="0.3">
      <c r="A208" s="4" t="s">
        <v>65</v>
      </c>
      <c r="B208" s="5">
        <v>46206</v>
      </c>
      <c r="C208" s="7">
        <v>0.32152777777777802</v>
      </c>
      <c r="D208" s="7">
        <v>0.70486111111111105</v>
      </c>
      <c r="E208" s="8">
        <f t="shared" si="12"/>
        <v>9.1999999999999922</v>
      </c>
      <c r="F208" s="8">
        <f t="shared" si="13"/>
        <v>0</v>
      </c>
      <c r="G208" s="8">
        <f t="shared" si="14"/>
        <v>0</v>
      </c>
      <c r="H208" s="4" t="str">
        <f t="shared" si="15"/>
        <v>On Time</v>
      </c>
    </row>
    <row r="209" spans="1:8" x14ac:dyDescent="0.3">
      <c r="A209" s="4" t="s">
        <v>65</v>
      </c>
      <c r="B209" s="5">
        <v>46207</v>
      </c>
      <c r="C209" s="7">
        <v>0.31944444444444398</v>
      </c>
      <c r="D209" s="7">
        <v>0.70347222222222205</v>
      </c>
      <c r="E209" s="8">
        <f t="shared" si="12"/>
        <v>9.2166666666666739</v>
      </c>
      <c r="F209" s="8">
        <f t="shared" si="13"/>
        <v>0</v>
      </c>
      <c r="G209" s="8">
        <f t="shared" si="14"/>
        <v>0</v>
      </c>
      <c r="H209" s="4" t="str">
        <f t="shared" si="15"/>
        <v>On Time</v>
      </c>
    </row>
    <row r="210" spans="1:8" x14ac:dyDescent="0.3">
      <c r="A210" s="4" t="s">
        <v>65</v>
      </c>
      <c r="B210" s="5">
        <v>46208</v>
      </c>
      <c r="C210" s="7">
        <v>0.33958333333333302</v>
      </c>
      <c r="D210" s="7">
        <v>0.76597222222222205</v>
      </c>
      <c r="E210" s="8">
        <f t="shared" si="12"/>
        <v>10.233333333333338</v>
      </c>
      <c r="F210" s="8">
        <f t="shared" si="13"/>
        <v>0</v>
      </c>
      <c r="G210" s="8">
        <f t="shared" si="14"/>
        <v>1.3833333333333284</v>
      </c>
      <c r="H210" s="4" t="str">
        <f t="shared" si="15"/>
        <v>On Time</v>
      </c>
    </row>
    <row r="211" spans="1:8" x14ac:dyDescent="0.3">
      <c r="A211" s="4" t="s">
        <v>65</v>
      </c>
      <c r="B211" s="5">
        <v>46209</v>
      </c>
      <c r="C211" s="7">
        <v>0.329166666666667</v>
      </c>
      <c r="D211" s="7">
        <v>0.7</v>
      </c>
      <c r="E211" s="8">
        <f t="shared" si="12"/>
        <v>8.8999999999999915</v>
      </c>
      <c r="F211" s="8">
        <f t="shared" si="13"/>
        <v>0</v>
      </c>
      <c r="G211" s="8">
        <f t="shared" si="14"/>
        <v>0</v>
      </c>
      <c r="H211" s="4" t="str">
        <f t="shared" si="15"/>
        <v>On Time</v>
      </c>
    </row>
    <row r="212" spans="1:8" x14ac:dyDescent="0.3">
      <c r="A212" s="4" t="s">
        <v>65</v>
      </c>
      <c r="B212" s="5">
        <v>46210</v>
      </c>
      <c r="C212" s="7">
        <v>0.32083333333333303</v>
      </c>
      <c r="D212" s="7">
        <v>0.78749999999999998</v>
      </c>
      <c r="E212" s="8">
        <f t="shared" si="12"/>
        <v>11.200000000000006</v>
      </c>
      <c r="F212" s="8">
        <f t="shared" si="13"/>
        <v>0</v>
      </c>
      <c r="G212" s="8">
        <f t="shared" si="14"/>
        <v>1.8999999999999986</v>
      </c>
      <c r="H212" s="4" t="str">
        <f t="shared" si="15"/>
        <v>On Time</v>
      </c>
    </row>
    <row r="213" spans="1:8" x14ac:dyDescent="0.3">
      <c r="A213" s="4" t="s">
        <v>65</v>
      </c>
      <c r="B213" s="5">
        <v>46211</v>
      </c>
      <c r="C213" s="7">
        <v>0.33055555555555599</v>
      </c>
      <c r="D213" s="7">
        <v>0.7</v>
      </c>
      <c r="E213" s="8">
        <f t="shared" si="12"/>
        <v>8.8666666666666547</v>
      </c>
      <c r="F213" s="8">
        <f t="shared" si="13"/>
        <v>0</v>
      </c>
      <c r="G213" s="8">
        <f t="shared" si="14"/>
        <v>0</v>
      </c>
      <c r="H213" s="4" t="str">
        <f t="shared" si="15"/>
        <v>On Time</v>
      </c>
    </row>
    <row r="214" spans="1:8" x14ac:dyDescent="0.3">
      <c r="A214" s="4" t="s">
        <v>65</v>
      </c>
      <c r="B214" s="5">
        <v>46212</v>
      </c>
      <c r="C214" s="7">
        <v>0.33819444444444502</v>
      </c>
      <c r="D214" s="7">
        <v>0.70555555555555605</v>
      </c>
      <c r="E214" s="8">
        <f t="shared" si="12"/>
        <v>8.8166666666666647</v>
      </c>
      <c r="F214" s="8">
        <f t="shared" si="13"/>
        <v>0</v>
      </c>
      <c r="G214" s="8">
        <f t="shared" si="14"/>
        <v>0</v>
      </c>
      <c r="H214" s="4" t="str">
        <f t="shared" si="15"/>
        <v>On Time</v>
      </c>
    </row>
    <row r="215" spans="1:8" x14ac:dyDescent="0.3">
      <c r="A215" s="4" t="s">
        <v>65</v>
      </c>
      <c r="B215" s="5">
        <v>46213</v>
      </c>
      <c r="C215" s="7">
        <v>0.33194444444444399</v>
      </c>
      <c r="D215" s="7">
        <v>0.69861111111111096</v>
      </c>
      <c r="E215" s="8">
        <f t="shared" si="12"/>
        <v>8.8000000000000078</v>
      </c>
      <c r="F215" s="8">
        <f t="shared" si="13"/>
        <v>0</v>
      </c>
      <c r="G215" s="8">
        <f t="shared" si="14"/>
        <v>0</v>
      </c>
      <c r="H215" s="4" t="str">
        <f t="shared" si="15"/>
        <v>On Time</v>
      </c>
    </row>
    <row r="216" spans="1:8" x14ac:dyDescent="0.3">
      <c r="A216" s="4" t="s">
        <v>67</v>
      </c>
      <c r="B216" s="5">
        <v>46204</v>
      </c>
      <c r="C216" s="7">
        <v>0.33402777777777798</v>
      </c>
      <c r="D216" s="7">
        <v>0.70277777777777795</v>
      </c>
      <c r="E216" s="8">
        <f t="shared" si="12"/>
        <v>8.85</v>
      </c>
      <c r="F216" s="8">
        <f t="shared" si="13"/>
        <v>0</v>
      </c>
      <c r="G216" s="8">
        <f t="shared" si="14"/>
        <v>0</v>
      </c>
      <c r="H216" s="4" t="str">
        <f t="shared" si="15"/>
        <v>On Time</v>
      </c>
    </row>
    <row r="217" spans="1:8" x14ac:dyDescent="0.3">
      <c r="A217" s="4" t="s">
        <v>67</v>
      </c>
      <c r="B217" s="5">
        <v>46205</v>
      </c>
      <c r="C217" s="7">
        <v>0.343055555555556</v>
      </c>
      <c r="D217" s="7">
        <v>0.70555555555555605</v>
      </c>
      <c r="E217" s="8">
        <f t="shared" si="12"/>
        <v>8.7000000000000011</v>
      </c>
      <c r="F217" s="8">
        <f t="shared" si="13"/>
        <v>0</v>
      </c>
      <c r="G217" s="8">
        <f t="shared" si="14"/>
        <v>0</v>
      </c>
      <c r="H217" s="4" t="str">
        <f t="shared" si="15"/>
        <v>On Time</v>
      </c>
    </row>
    <row r="218" spans="1:8" x14ac:dyDescent="0.3">
      <c r="A218" s="4" t="s">
        <v>67</v>
      </c>
      <c r="B218" s="5">
        <v>46206</v>
      </c>
      <c r="C218" s="7">
        <v>0.32013888888888897</v>
      </c>
      <c r="D218" s="7">
        <v>0.69930555555555596</v>
      </c>
      <c r="E218" s="8">
        <f t="shared" si="12"/>
        <v>9.1000000000000085</v>
      </c>
      <c r="F218" s="8">
        <f t="shared" si="13"/>
        <v>0</v>
      </c>
      <c r="G218" s="8">
        <f t="shared" si="14"/>
        <v>0</v>
      </c>
      <c r="H218" s="4" t="str">
        <f t="shared" si="15"/>
        <v>On Time</v>
      </c>
    </row>
    <row r="219" spans="1:8" x14ac:dyDescent="0.3">
      <c r="A219" s="4" t="s">
        <v>67</v>
      </c>
      <c r="B219" s="5">
        <v>46207</v>
      </c>
      <c r="C219" s="7">
        <v>0.33263888888888898</v>
      </c>
      <c r="D219" s="7">
        <v>0.70277777777777795</v>
      </c>
      <c r="E219" s="8">
        <f t="shared" si="12"/>
        <v>8.8833333333333346</v>
      </c>
      <c r="F219" s="8">
        <f t="shared" si="13"/>
        <v>0</v>
      </c>
      <c r="G219" s="8">
        <f t="shared" si="14"/>
        <v>0</v>
      </c>
      <c r="H219" s="4" t="str">
        <f t="shared" si="15"/>
        <v>On Time</v>
      </c>
    </row>
    <row r="220" spans="1:8" x14ac:dyDescent="0.3">
      <c r="A220" s="4" t="s">
        <v>67</v>
      </c>
      <c r="B220" s="5">
        <v>46208</v>
      </c>
      <c r="C220" s="7">
        <v>0.32222222222222202</v>
      </c>
      <c r="D220" s="7">
        <v>0.69791666666666696</v>
      </c>
      <c r="E220" s="8">
        <f t="shared" si="12"/>
        <v>9.0166666666666782</v>
      </c>
      <c r="F220" s="8">
        <f t="shared" si="13"/>
        <v>0</v>
      </c>
      <c r="G220" s="8">
        <f t="shared" si="14"/>
        <v>0</v>
      </c>
      <c r="H220" s="4" t="str">
        <f t="shared" si="15"/>
        <v>On Time</v>
      </c>
    </row>
    <row r="221" spans="1:8" x14ac:dyDescent="0.3">
      <c r="A221" s="4" t="s">
        <v>67</v>
      </c>
      <c r="B221" s="5">
        <v>46209</v>
      </c>
      <c r="C221" s="7">
        <v>0.34791666666666698</v>
      </c>
      <c r="D221" s="7">
        <v>0.76319444444444395</v>
      </c>
      <c r="E221" s="8">
        <f t="shared" si="12"/>
        <v>9.9666666666666472</v>
      </c>
      <c r="F221" s="8">
        <f t="shared" si="13"/>
        <v>6.0000000000004583</v>
      </c>
      <c r="G221" s="8">
        <f t="shared" si="14"/>
        <v>1.316666666666654</v>
      </c>
      <c r="H221" s="4" t="str">
        <f t="shared" si="15"/>
        <v>Late</v>
      </c>
    </row>
    <row r="222" spans="1:8" x14ac:dyDescent="0.3">
      <c r="A222" s="4" t="s">
        <v>67</v>
      </c>
      <c r="B222" s="5">
        <v>46210</v>
      </c>
      <c r="C222" s="7">
        <v>0.33472222222222198</v>
      </c>
      <c r="D222" s="7">
        <v>0.69444444444444398</v>
      </c>
      <c r="E222" s="8">
        <f t="shared" si="12"/>
        <v>8.6333333333333275</v>
      </c>
      <c r="F222" s="8">
        <f t="shared" si="13"/>
        <v>0</v>
      </c>
      <c r="G222" s="8">
        <f t="shared" si="14"/>
        <v>0</v>
      </c>
      <c r="H222" s="4" t="str">
        <f t="shared" si="15"/>
        <v>On Time</v>
      </c>
    </row>
    <row r="223" spans="1:8" x14ac:dyDescent="0.3">
      <c r="A223" s="4" t="s">
        <v>67</v>
      </c>
      <c r="B223" s="5">
        <v>46211</v>
      </c>
      <c r="C223" s="7">
        <v>0.35277777777777802</v>
      </c>
      <c r="D223" s="7">
        <v>0.70833333333333304</v>
      </c>
      <c r="E223" s="8">
        <f t="shared" si="12"/>
        <v>8.5333333333333208</v>
      </c>
      <c r="F223" s="8">
        <f t="shared" si="13"/>
        <v>13.000000000000353</v>
      </c>
      <c r="G223" s="8">
        <f t="shared" si="14"/>
        <v>0</v>
      </c>
      <c r="H223" s="4" t="str">
        <f t="shared" si="15"/>
        <v>Late</v>
      </c>
    </row>
    <row r="224" spans="1:8" x14ac:dyDescent="0.3">
      <c r="A224" s="4" t="s">
        <v>67</v>
      </c>
      <c r="B224" s="5">
        <v>46212</v>
      </c>
      <c r="C224" s="7">
        <v>0.35</v>
      </c>
      <c r="D224" s="7">
        <v>0.69583333333333297</v>
      </c>
      <c r="E224" s="8">
        <f t="shared" si="12"/>
        <v>8.2999999999999918</v>
      </c>
      <c r="F224" s="8">
        <f t="shared" si="13"/>
        <v>8.999999999999968</v>
      </c>
      <c r="G224" s="8">
        <f t="shared" si="14"/>
        <v>0</v>
      </c>
      <c r="H224" s="4" t="str">
        <f t="shared" si="15"/>
        <v>Late</v>
      </c>
    </row>
    <row r="225" spans="1:8" x14ac:dyDescent="0.3">
      <c r="A225" s="4" t="s">
        <v>67</v>
      </c>
      <c r="B225" s="5">
        <v>46213</v>
      </c>
      <c r="C225" s="7">
        <v>0.33541666666666697</v>
      </c>
      <c r="D225" s="7">
        <v>0.780555555555556</v>
      </c>
      <c r="E225" s="8">
        <f t="shared" si="12"/>
        <v>10.683333333333337</v>
      </c>
      <c r="F225" s="8">
        <f t="shared" si="13"/>
        <v>0</v>
      </c>
      <c r="G225" s="8">
        <f t="shared" si="14"/>
        <v>1.7333333333333432</v>
      </c>
      <c r="H225" s="4" t="str">
        <f t="shared" si="15"/>
        <v>On Time</v>
      </c>
    </row>
    <row r="226" spans="1:8" x14ac:dyDescent="0.3">
      <c r="A226" s="4" t="s">
        <v>69</v>
      </c>
      <c r="B226" s="5">
        <v>46204</v>
      </c>
      <c r="C226" s="7">
        <v>0.33194444444444399</v>
      </c>
      <c r="D226" s="7">
        <v>0.69722222222222197</v>
      </c>
      <c r="E226" s="8">
        <f t="shared" si="12"/>
        <v>8.766666666666671</v>
      </c>
      <c r="F226" s="8">
        <f t="shared" si="13"/>
        <v>0</v>
      </c>
      <c r="G226" s="8">
        <f t="shared" si="14"/>
        <v>0</v>
      </c>
      <c r="H226" s="4" t="str">
        <f t="shared" si="15"/>
        <v>On Time</v>
      </c>
    </row>
    <row r="227" spans="1:8" x14ac:dyDescent="0.3">
      <c r="A227" s="4" t="s">
        <v>69</v>
      </c>
      <c r="B227" s="5">
        <v>46205</v>
      </c>
      <c r="C227" s="7">
        <v>0.38055555555555598</v>
      </c>
      <c r="D227" s="7">
        <v>0.70069444444444395</v>
      </c>
      <c r="E227" s="8">
        <f t="shared" si="12"/>
        <v>7.6833333333333114</v>
      </c>
      <c r="F227" s="8">
        <f t="shared" si="13"/>
        <v>53.000000000000611</v>
      </c>
      <c r="G227" s="8">
        <f t="shared" si="14"/>
        <v>0</v>
      </c>
      <c r="H227" s="4" t="str">
        <f t="shared" si="15"/>
        <v>Late</v>
      </c>
    </row>
    <row r="228" spans="1:8" x14ac:dyDescent="0.3">
      <c r="A228" s="4" t="s">
        <v>69</v>
      </c>
      <c r="B228" s="5">
        <v>46206</v>
      </c>
      <c r="C228" s="7">
        <v>0.33819444444444502</v>
      </c>
      <c r="D228" s="7">
        <v>0.70208333333333295</v>
      </c>
      <c r="E228" s="8">
        <f t="shared" si="12"/>
        <v>8.7333333333333094</v>
      </c>
      <c r="F228" s="8">
        <f t="shared" si="13"/>
        <v>0</v>
      </c>
      <c r="G228" s="8">
        <f t="shared" si="14"/>
        <v>0</v>
      </c>
      <c r="H228" s="4" t="str">
        <f t="shared" si="15"/>
        <v>On Time</v>
      </c>
    </row>
    <row r="229" spans="1:8" x14ac:dyDescent="0.3">
      <c r="A229" s="4" t="s">
        <v>69</v>
      </c>
      <c r="B229" s="5">
        <v>46207</v>
      </c>
      <c r="C229" s="7">
        <v>0.33194444444444399</v>
      </c>
      <c r="D229" s="7">
        <v>0.77569444444444502</v>
      </c>
      <c r="E229" s="8">
        <f t="shared" si="12"/>
        <v>10.650000000000025</v>
      </c>
      <c r="F229" s="8">
        <f t="shared" si="13"/>
        <v>0</v>
      </c>
      <c r="G229" s="8">
        <f t="shared" si="14"/>
        <v>1.6166666666666796</v>
      </c>
      <c r="H229" s="4" t="str">
        <f t="shared" si="15"/>
        <v>On Time</v>
      </c>
    </row>
    <row r="230" spans="1:8" x14ac:dyDescent="0.3">
      <c r="A230" s="4" t="s">
        <v>69</v>
      </c>
      <c r="B230" s="5">
        <v>46208</v>
      </c>
      <c r="C230" s="7">
        <v>0.33333333333333298</v>
      </c>
      <c r="D230" s="7">
        <v>0.70763888888888904</v>
      </c>
      <c r="E230" s="8">
        <f t="shared" si="12"/>
        <v>8.9833333333333449</v>
      </c>
      <c r="F230" s="8">
        <f t="shared" si="13"/>
        <v>0</v>
      </c>
      <c r="G230" s="8">
        <f t="shared" si="14"/>
        <v>0</v>
      </c>
      <c r="H230" s="4" t="str">
        <f t="shared" si="15"/>
        <v>On Time</v>
      </c>
    </row>
    <row r="231" spans="1:8" x14ac:dyDescent="0.3">
      <c r="A231" s="4" t="s">
        <v>69</v>
      </c>
      <c r="B231" s="5">
        <v>46209</v>
      </c>
      <c r="C231" s="7">
        <v>0.33194444444444399</v>
      </c>
      <c r="D231" s="7">
        <v>0.69444444444444398</v>
      </c>
      <c r="E231" s="8">
        <f t="shared" si="12"/>
        <v>8.6999999999999993</v>
      </c>
      <c r="F231" s="8">
        <f t="shared" si="13"/>
        <v>0</v>
      </c>
      <c r="G231" s="8">
        <f t="shared" si="14"/>
        <v>0</v>
      </c>
      <c r="H231" s="4" t="str">
        <f t="shared" si="15"/>
        <v>On Time</v>
      </c>
    </row>
    <row r="232" spans="1:8" x14ac:dyDescent="0.3">
      <c r="A232" s="4" t="s">
        <v>69</v>
      </c>
      <c r="B232" s="5">
        <v>46210</v>
      </c>
      <c r="C232" s="7">
        <v>0.32013888888888897</v>
      </c>
      <c r="D232" s="7">
        <v>0.69652777777777797</v>
      </c>
      <c r="E232" s="8">
        <f t="shared" si="12"/>
        <v>9.033333333333335</v>
      </c>
      <c r="F232" s="8">
        <f t="shared" si="13"/>
        <v>0</v>
      </c>
      <c r="G232" s="8">
        <f t="shared" si="14"/>
        <v>0</v>
      </c>
      <c r="H232" s="4" t="str">
        <f t="shared" si="15"/>
        <v>On Time</v>
      </c>
    </row>
    <row r="233" spans="1:8" x14ac:dyDescent="0.3">
      <c r="A233" s="4" t="s">
        <v>69</v>
      </c>
      <c r="B233" s="5">
        <v>46211</v>
      </c>
      <c r="C233" s="7">
        <v>0.32152777777777802</v>
      </c>
      <c r="D233" s="7">
        <v>0.69861111111111096</v>
      </c>
      <c r="E233" s="8">
        <f t="shared" si="12"/>
        <v>9.0499999999999901</v>
      </c>
      <c r="F233" s="8">
        <f t="shared" si="13"/>
        <v>0</v>
      </c>
      <c r="G233" s="8">
        <f t="shared" si="14"/>
        <v>0</v>
      </c>
      <c r="H233" s="4" t="str">
        <f t="shared" si="15"/>
        <v>On Time</v>
      </c>
    </row>
    <row r="234" spans="1:8" x14ac:dyDescent="0.3">
      <c r="A234" s="4" t="s">
        <v>69</v>
      </c>
      <c r="B234" s="5">
        <v>46212</v>
      </c>
      <c r="C234" s="7">
        <v>0.32291666666666702</v>
      </c>
      <c r="D234" s="7">
        <v>0.70069444444444395</v>
      </c>
      <c r="E234" s="8">
        <f t="shared" si="12"/>
        <v>9.0666666666666469</v>
      </c>
      <c r="F234" s="8">
        <f t="shared" si="13"/>
        <v>0</v>
      </c>
      <c r="G234" s="8">
        <f t="shared" si="14"/>
        <v>0</v>
      </c>
      <c r="H234" s="4" t="str">
        <f t="shared" si="15"/>
        <v>On Time</v>
      </c>
    </row>
    <row r="235" spans="1:8" x14ac:dyDescent="0.3">
      <c r="A235" s="4" t="s">
        <v>69</v>
      </c>
      <c r="B235" s="5">
        <v>46213</v>
      </c>
      <c r="C235" s="7">
        <v>0.31944444444444398</v>
      </c>
      <c r="D235" s="7">
        <v>0.70069444444444395</v>
      </c>
      <c r="E235" s="8">
        <f t="shared" si="12"/>
        <v>9.1499999999999986</v>
      </c>
      <c r="F235" s="8">
        <f t="shared" si="13"/>
        <v>0</v>
      </c>
      <c r="G235" s="8">
        <f t="shared" si="14"/>
        <v>0</v>
      </c>
      <c r="H235" s="4" t="str">
        <f t="shared" si="15"/>
        <v>On Time</v>
      </c>
    </row>
    <row r="236" spans="1:8" x14ac:dyDescent="0.3">
      <c r="A236" s="4" t="s">
        <v>71</v>
      </c>
      <c r="B236" s="5">
        <v>46204</v>
      </c>
      <c r="C236" s="7">
        <v>0.34166666666666701</v>
      </c>
      <c r="D236" s="7">
        <v>0.69791666666666696</v>
      </c>
      <c r="E236" s="8">
        <f t="shared" si="12"/>
        <v>8.5499999999999989</v>
      </c>
      <c r="F236" s="8">
        <f t="shared" si="13"/>
        <v>0</v>
      </c>
      <c r="G236" s="8">
        <f t="shared" si="14"/>
        <v>0</v>
      </c>
      <c r="H236" s="4" t="str">
        <f t="shared" si="15"/>
        <v>On Time</v>
      </c>
    </row>
    <row r="237" spans="1:8" x14ac:dyDescent="0.3">
      <c r="A237" s="4" t="s">
        <v>71</v>
      </c>
      <c r="B237" s="5">
        <v>46205</v>
      </c>
      <c r="C237" s="7">
        <v>0.328472222222222</v>
      </c>
      <c r="D237" s="7">
        <v>0.69930555555555596</v>
      </c>
      <c r="E237" s="8">
        <f t="shared" si="12"/>
        <v>8.9000000000000146</v>
      </c>
      <c r="F237" s="8">
        <f t="shared" si="13"/>
        <v>0</v>
      </c>
      <c r="G237" s="8">
        <f t="shared" si="14"/>
        <v>0</v>
      </c>
      <c r="H237" s="4" t="str">
        <f t="shared" si="15"/>
        <v>On Time</v>
      </c>
    </row>
    <row r="238" spans="1:8" x14ac:dyDescent="0.3">
      <c r="A238" s="4" t="s">
        <v>71</v>
      </c>
      <c r="B238" s="5">
        <v>46206</v>
      </c>
      <c r="C238" s="7">
        <v>0.32430555555555601</v>
      </c>
      <c r="D238" s="7">
        <v>0.69583333333333297</v>
      </c>
      <c r="E238" s="8">
        <f t="shared" si="12"/>
        <v>8.9166666666666465</v>
      </c>
      <c r="F238" s="8">
        <f t="shared" si="13"/>
        <v>0</v>
      </c>
      <c r="G238" s="8">
        <f t="shared" si="14"/>
        <v>0</v>
      </c>
      <c r="H238" s="4" t="str">
        <f t="shared" si="15"/>
        <v>On Time</v>
      </c>
    </row>
    <row r="239" spans="1:8" x14ac:dyDescent="0.3">
      <c r="A239" s="4" t="s">
        <v>71</v>
      </c>
      <c r="B239" s="5">
        <v>46207</v>
      </c>
      <c r="C239" s="7">
        <v>0.34375</v>
      </c>
      <c r="D239" s="7">
        <v>0.70833333333333304</v>
      </c>
      <c r="E239" s="8">
        <f t="shared" si="12"/>
        <v>8.7499999999999929</v>
      </c>
      <c r="F239" s="8">
        <f t="shared" si="13"/>
        <v>0</v>
      </c>
      <c r="G239" s="8">
        <f t="shared" si="14"/>
        <v>0</v>
      </c>
      <c r="H239" s="4" t="str">
        <f t="shared" si="15"/>
        <v>On Time</v>
      </c>
    </row>
    <row r="240" spans="1:8" x14ac:dyDescent="0.3">
      <c r="A240" s="4" t="s">
        <v>71</v>
      </c>
      <c r="B240" s="5">
        <v>46208</v>
      </c>
      <c r="C240" s="7">
        <v>0.32361111111111102</v>
      </c>
      <c r="D240" s="7">
        <v>0.70277777777777795</v>
      </c>
      <c r="E240" s="8">
        <f t="shared" si="12"/>
        <v>9.1000000000000068</v>
      </c>
      <c r="F240" s="8">
        <f t="shared" si="13"/>
        <v>0</v>
      </c>
      <c r="G240" s="8">
        <f t="shared" si="14"/>
        <v>0</v>
      </c>
      <c r="H240" s="4" t="str">
        <f t="shared" si="15"/>
        <v>On Time</v>
      </c>
    </row>
    <row r="241" spans="1:8" x14ac:dyDescent="0.3">
      <c r="A241" s="4" t="s">
        <v>71</v>
      </c>
      <c r="B241" s="5">
        <v>46209</v>
      </c>
      <c r="C241" s="7">
        <v>0.32291666666666702</v>
      </c>
      <c r="D241" s="7">
        <v>0.70833333333333304</v>
      </c>
      <c r="E241" s="8">
        <f t="shared" si="12"/>
        <v>9.249999999999984</v>
      </c>
      <c r="F241" s="8">
        <f t="shared" si="13"/>
        <v>0</v>
      </c>
      <c r="G241" s="8">
        <f t="shared" si="14"/>
        <v>0</v>
      </c>
      <c r="H241" s="4" t="str">
        <f t="shared" si="15"/>
        <v>On Time</v>
      </c>
    </row>
    <row r="242" spans="1:8" x14ac:dyDescent="0.3">
      <c r="A242" s="4" t="s">
        <v>71</v>
      </c>
      <c r="B242" s="5">
        <v>46210</v>
      </c>
      <c r="C242" s="7">
        <v>0.35625000000000001</v>
      </c>
      <c r="D242" s="7">
        <v>0.70347222222222205</v>
      </c>
      <c r="E242" s="8">
        <f t="shared" si="12"/>
        <v>8.3333333333333286</v>
      </c>
      <c r="F242" s="8">
        <f t="shared" si="13"/>
        <v>18.000000000000014</v>
      </c>
      <c r="G242" s="8">
        <f t="shared" si="14"/>
        <v>0</v>
      </c>
      <c r="H242" s="4" t="str">
        <f t="shared" si="15"/>
        <v>Late</v>
      </c>
    </row>
    <row r="243" spans="1:8" x14ac:dyDescent="0.3">
      <c r="A243" s="4" t="s">
        <v>71</v>
      </c>
      <c r="B243" s="5">
        <v>46212</v>
      </c>
      <c r="C243" s="7">
        <v>0.34166666666666701</v>
      </c>
      <c r="D243" s="7">
        <v>0.78680555555555598</v>
      </c>
      <c r="E243" s="8">
        <f t="shared" si="12"/>
        <v>10.683333333333335</v>
      </c>
      <c r="F243" s="8">
        <f t="shared" si="13"/>
        <v>0</v>
      </c>
      <c r="G243" s="8">
        <f t="shared" si="14"/>
        <v>1.8833333333333426</v>
      </c>
      <c r="H243" s="4" t="str">
        <f t="shared" si="15"/>
        <v>On Time</v>
      </c>
    </row>
    <row r="244" spans="1:8" x14ac:dyDescent="0.3">
      <c r="A244" s="4" t="s">
        <v>71</v>
      </c>
      <c r="B244" s="5">
        <v>46213</v>
      </c>
      <c r="C244" s="7">
        <v>0.33958333333333302</v>
      </c>
      <c r="D244" s="7">
        <v>0.76111111111111096</v>
      </c>
      <c r="E244" s="8">
        <f t="shared" si="12"/>
        <v>10.116666666666671</v>
      </c>
      <c r="F244" s="8">
        <f t="shared" si="13"/>
        <v>0</v>
      </c>
      <c r="G244" s="8">
        <f t="shared" si="14"/>
        <v>1.2666666666666622</v>
      </c>
      <c r="H244" s="4" t="str">
        <f t="shared" si="15"/>
        <v>On Time</v>
      </c>
    </row>
    <row r="245" spans="1:8" x14ac:dyDescent="0.3">
      <c r="A245" s="4" t="s">
        <v>73</v>
      </c>
      <c r="B245" s="5">
        <v>46204</v>
      </c>
      <c r="C245" s="7">
        <v>0.33888888888888902</v>
      </c>
      <c r="D245" s="7">
        <v>0.7</v>
      </c>
      <c r="E245" s="8">
        <f t="shared" si="12"/>
        <v>8.6666666666666625</v>
      </c>
      <c r="F245" s="8">
        <f t="shared" si="13"/>
        <v>0</v>
      </c>
      <c r="G245" s="8">
        <f t="shared" si="14"/>
        <v>0</v>
      </c>
      <c r="H245" s="4" t="str">
        <f t="shared" si="15"/>
        <v>On Time</v>
      </c>
    </row>
    <row r="246" spans="1:8" x14ac:dyDescent="0.3">
      <c r="A246" s="4" t="s">
        <v>73</v>
      </c>
      <c r="B246" s="5">
        <v>46205</v>
      </c>
      <c r="C246" s="7">
        <v>0.32500000000000001</v>
      </c>
      <c r="D246" s="7">
        <v>0.70833333333333304</v>
      </c>
      <c r="E246" s="8">
        <f t="shared" si="12"/>
        <v>9.1999999999999922</v>
      </c>
      <c r="F246" s="8">
        <f t="shared" si="13"/>
        <v>0</v>
      </c>
      <c r="G246" s="8">
        <f t="shared" si="14"/>
        <v>0</v>
      </c>
      <c r="H246" s="4" t="str">
        <f t="shared" si="15"/>
        <v>On Time</v>
      </c>
    </row>
    <row r="247" spans="1:8" x14ac:dyDescent="0.3">
      <c r="A247" s="4" t="s">
        <v>73</v>
      </c>
      <c r="B247" s="5">
        <v>46206</v>
      </c>
      <c r="C247" s="7">
        <v>0.32986111111111099</v>
      </c>
      <c r="D247" s="7">
        <v>0.7</v>
      </c>
      <c r="E247" s="8">
        <f t="shared" si="12"/>
        <v>8.8833333333333346</v>
      </c>
      <c r="F247" s="8">
        <f t="shared" si="13"/>
        <v>0</v>
      </c>
      <c r="G247" s="8">
        <f t="shared" si="14"/>
        <v>0</v>
      </c>
      <c r="H247" s="4" t="str">
        <f t="shared" si="15"/>
        <v>On Time</v>
      </c>
    </row>
    <row r="248" spans="1:8" x14ac:dyDescent="0.3">
      <c r="A248" s="4" t="s">
        <v>73</v>
      </c>
      <c r="B248" s="5">
        <v>46207</v>
      </c>
      <c r="C248" s="7">
        <v>0.32569444444444501</v>
      </c>
      <c r="D248" s="7">
        <v>0.69930555555555596</v>
      </c>
      <c r="E248" s="8">
        <f t="shared" si="12"/>
        <v>8.9666666666666632</v>
      </c>
      <c r="F248" s="8">
        <f t="shared" si="13"/>
        <v>0</v>
      </c>
      <c r="G248" s="8">
        <f t="shared" si="14"/>
        <v>0</v>
      </c>
      <c r="H248" s="4" t="str">
        <f t="shared" si="15"/>
        <v>On Time</v>
      </c>
    </row>
    <row r="249" spans="1:8" x14ac:dyDescent="0.3">
      <c r="A249" s="4" t="s">
        <v>73</v>
      </c>
      <c r="B249" s="5">
        <v>46208</v>
      </c>
      <c r="C249" s="7">
        <v>0.34236111111111101</v>
      </c>
      <c r="D249" s="7">
        <v>0.69930555555555596</v>
      </c>
      <c r="E249" s="8">
        <f t="shared" si="12"/>
        <v>8.5666666666666789</v>
      </c>
      <c r="F249" s="8">
        <f t="shared" si="13"/>
        <v>0</v>
      </c>
      <c r="G249" s="8">
        <f t="shared" si="14"/>
        <v>0</v>
      </c>
      <c r="H249" s="4" t="str">
        <f t="shared" si="15"/>
        <v>On Time</v>
      </c>
    </row>
    <row r="250" spans="1:8" x14ac:dyDescent="0.3">
      <c r="A250" s="4" t="s">
        <v>73</v>
      </c>
      <c r="B250" s="5">
        <v>46209</v>
      </c>
      <c r="C250" s="7">
        <v>0.327777777777778</v>
      </c>
      <c r="D250" s="7">
        <v>0.69652777777777797</v>
      </c>
      <c r="E250" s="8">
        <f t="shared" si="12"/>
        <v>8.85</v>
      </c>
      <c r="F250" s="8">
        <f t="shared" si="13"/>
        <v>0</v>
      </c>
      <c r="G250" s="8">
        <f t="shared" si="14"/>
        <v>0</v>
      </c>
      <c r="H250" s="4" t="str">
        <f t="shared" si="15"/>
        <v>On Time</v>
      </c>
    </row>
    <row r="251" spans="1:8" x14ac:dyDescent="0.3">
      <c r="A251" s="4" t="s">
        <v>73</v>
      </c>
      <c r="B251" s="5">
        <v>46210</v>
      </c>
      <c r="C251" s="7">
        <v>0.32361111111111102</v>
      </c>
      <c r="D251" s="7">
        <v>0.72152777777777799</v>
      </c>
      <c r="E251" s="8">
        <f t="shared" si="12"/>
        <v>9.5500000000000078</v>
      </c>
      <c r="F251" s="8">
        <f t="shared" si="13"/>
        <v>0</v>
      </c>
      <c r="G251" s="8">
        <f t="shared" si="14"/>
        <v>0.31666666666667087</v>
      </c>
      <c r="H251" s="4" t="str">
        <f t="shared" si="15"/>
        <v>On Time</v>
      </c>
    </row>
    <row r="252" spans="1:8" x14ac:dyDescent="0.3">
      <c r="A252" s="4" t="s">
        <v>73</v>
      </c>
      <c r="B252" s="5">
        <v>46211</v>
      </c>
      <c r="C252" s="7">
        <v>0.33263888888888898</v>
      </c>
      <c r="D252" s="7">
        <v>0.70347222222222205</v>
      </c>
      <c r="E252" s="8">
        <f t="shared" si="12"/>
        <v>8.8999999999999932</v>
      </c>
      <c r="F252" s="8">
        <f t="shared" si="13"/>
        <v>0</v>
      </c>
      <c r="G252" s="8">
        <f t="shared" si="14"/>
        <v>0</v>
      </c>
      <c r="H252" s="4" t="str">
        <f t="shared" si="15"/>
        <v>On Time</v>
      </c>
    </row>
    <row r="253" spans="1:8" x14ac:dyDescent="0.3">
      <c r="A253" s="4" t="s">
        <v>73</v>
      </c>
      <c r="B253" s="5">
        <v>46213</v>
      </c>
      <c r="C253" s="7">
        <v>0.32361111111111102</v>
      </c>
      <c r="D253" s="7">
        <v>0.69652777777777797</v>
      </c>
      <c r="E253" s="8">
        <f t="shared" si="12"/>
        <v>8.9500000000000064</v>
      </c>
      <c r="F253" s="8">
        <f t="shared" si="13"/>
        <v>0</v>
      </c>
      <c r="G253" s="8">
        <f t="shared" si="14"/>
        <v>0</v>
      </c>
      <c r="H253" s="4" t="str">
        <f t="shared" si="15"/>
        <v>On Time</v>
      </c>
    </row>
    <row r="254" spans="1:8" x14ac:dyDescent="0.3">
      <c r="A254" s="4" t="s">
        <v>75</v>
      </c>
      <c r="B254" s="5">
        <v>46204</v>
      </c>
      <c r="C254" s="7">
        <v>0.358333333333333</v>
      </c>
      <c r="D254" s="7">
        <v>0.70277777777777795</v>
      </c>
      <c r="E254" s="8">
        <f t="shared" si="12"/>
        <v>8.2666666666666782</v>
      </c>
      <c r="F254" s="8">
        <f t="shared" si="13"/>
        <v>20.999999999999524</v>
      </c>
      <c r="G254" s="8">
        <f t="shared" si="14"/>
        <v>0</v>
      </c>
      <c r="H254" s="4" t="str">
        <f t="shared" si="15"/>
        <v>Late</v>
      </c>
    </row>
    <row r="255" spans="1:8" x14ac:dyDescent="0.3">
      <c r="A255" s="4" t="s">
        <v>75</v>
      </c>
      <c r="B255" s="5">
        <v>46205</v>
      </c>
      <c r="C255" s="7">
        <v>0.35763888888888901</v>
      </c>
      <c r="D255" s="7">
        <v>0.70347222222222205</v>
      </c>
      <c r="E255" s="8">
        <f t="shared" si="12"/>
        <v>8.2999999999999936</v>
      </c>
      <c r="F255" s="8">
        <f t="shared" si="13"/>
        <v>20.000000000000171</v>
      </c>
      <c r="G255" s="8">
        <f t="shared" si="14"/>
        <v>0</v>
      </c>
      <c r="H255" s="4" t="str">
        <f t="shared" si="15"/>
        <v>Late</v>
      </c>
    </row>
    <row r="256" spans="1:8" x14ac:dyDescent="0.3">
      <c r="A256" s="4" t="s">
        <v>75</v>
      </c>
      <c r="B256" s="5">
        <v>46206</v>
      </c>
      <c r="C256" s="7">
        <v>0.33750000000000002</v>
      </c>
      <c r="D256" s="7">
        <v>0.70833333333333304</v>
      </c>
      <c r="E256" s="8">
        <f t="shared" si="12"/>
        <v>8.8999999999999915</v>
      </c>
      <c r="F256" s="8">
        <f t="shared" si="13"/>
        <v>0</v>
      </c>
      <c r="G256" s="8">
        <f t="shared" si="14"/>
        <v>0</v>
      </c>
      <c r="H256" s="4" t="str">
        <f t="shared" si="15"/>
        <v>On Time</v>
      </c>
    </row>
    <row r="257" spans="1:8" x14ac:dyDescent="0.3">
      <c r="A257" s="4" t="s">
        <v>75</v>
      </c>
      <c r="B257" s="5">
        <v>46207</v>
      </c>
      <c r="C257" s="7">
        <v>0.329166666666667</v>
      </c>
      <c r="D257" s="7">
        <v>0.70833333333333304</v>
      </c>
      <c r="E257" s="8">
        <f t="shared" si="12"/>
        <v>9.0999999999999854</v>
      </c>
      <c r="F257" s="8">
        <f t="shared" si="13"/>
        <v>0</v>
      </c>
      <c r="G257" s="8">
        <f t="shared" si="14"/>
        <v>0</v>
      </c>
      <c r="H257" s="4" t="str">
        <f t="shared" si="15"/>
        <v>On Time</v>
      </c>
    </row>
    <row r="258" spans="1:8" x14ac:dyDescent="0.3">
      <c r="A258" s="4" t="s">
        <v>75</v>
      </c>
      <c r="B258" s="5">
        <v>46208</v>
      </c>
      <c r="C258" s="7">
        <v>0.36597222222222198</v>
      </c>
      <c r="D258" s="7">
        <v>0.70833333333333304</v>
      </c>
      <c r="E258" s="8">
        <f t="shared" ref="E258:E321" si="16">(D258-C258)*24</f>
        <v>8.216666666666665</v>
      </c>
      <c r="F258" s="8">
        <f t="shared" ref="F258:F321" si="17">IF(C258&gt;TIME(8,15,0),(C258-TIME(8,15,0))*1440,0)</f>
        <v>31.999999999999645</v>
      </c>
      <c r="G258" s="8">
        <f t="shared" ref="G258:G321" si="18">IF(D258&gt;TIME(17,0,0),(D258-TIME(17,0,0))*24,0)</f>
        <v>0</v>
      </c>
      <c r="H258" s="4" t="str">
        <f t="shared" ref="H258:H321" si="19">IF(C258&gt;TIME(8,15,0),"Late","On Time")</f>
        <v>Late</v>
      </c>
    </row>
    <row r="259" spans="1:8" x14ac:dyDescent="0.3">
      <c r="A259" s="4" t="s">
        <v>75</v>
      </c>
      <c r="B259" s="5">
        <v>46209</v>
      </c>
      <c r="C259" s="7">
        <v>0.33750000000000002</v>
      </c>
      <c r="D259" s="7">
        <v>0.74375000000000002</v>
      </c>
      <c r="E259" s="8">
        <f t="shared" si="16"/>
        <v>9.75</v>
      </c>
      <c r="F259" s="8">
        <f t="shared" si="17"/>
        <v>0</v>
      </c>
      <c r="G259" s="8">
        <f t="shared" si="18"/>
        <v>0.84999999999999964</v>
      </c>
      <c r="H259" s="4" t="str">
        <f t="shared" si="19"/>
        <v>On Time</v>
      </c>
    </row>
    <row r="260" spans="1:8" x14ac:dyDescent="0.3">
      <c r="A260" s="4" t="s">
        <v>75</v>
      </c>
      <c r="B260" s="5">
        <v>46210</v>
      </c>
      <c r="C260" s="7">
        <v>0.32638888888888901</v>
      </c>
      <c r="D260" s="7">
        <v>0.70347222222222205</v>
      </c>
      <c r="E260" s="8">
        <f t="shared" si="16"/>
        <v>9.0499999999999936</v>
      </c>
      <c r="F260" s="8">
        <f t="shared" si="17"/>
        <v>0</v>
      </c>
      <c r="G260" s="8">
        <f t="shared" si="18"/>
        <v>0</v>
      </c>
      <c r="H260" s="4" t="str">
        <f t="shared" si="19"/>
        <v>On Time</v>
      </c>
    </row>
    <row r="261" spans="1:8" x14ac:dyDescent="0.3">
      <c r="A261" s="4" t="s">
        <v>75</v>
      </c>
      <c r="B261" s="5">
        <v>46211</v>
      </c>
      <c r="C261" s="7">
        <v>0.32013888888888897</v>
      </c>
      <c r="D261" s="7">
        <v>0.70347222222222205</v>
      </c>
      <c r="E261" s="8">
        <f t="shared" si="16"/>
        <v>9.199999999999994</v>
      </c>
      <c r="F261" s="8">
        <f t="shared" si="17"/>
        <v>0</v>
      </c>
      <c r="G261" s="8">
        <f t="shared" si="18"/>
        <v>0</v>
      </c>
      <c r="H261" s="4" t="str">
        <f t="shared" si="19"/>
        <v>On Time</v>
      </c>
    </row>
    <row r="262" spans="1:8" x14ac:dyDescent="0.3">
      <c r="A262" s="4" t="s">
        <v>75</v>
      </c>
      <c r="B262" s="5">
        <v>46212</v>
      </c>
      <c r="C262" s="7">
        <v>0.327083333333333</v>
      </c>
      <c r="D262" s="7">
        <v>0.70138888888888895</v>
      </c>
      <c r="E262" s="8">
        <f t="shared" si="16"/>
        <v>8.9833333333333432</v>
      </c>
      <c r="F262" s="8">
        <f t="shared" si="17"/>
        <v>0</v>
      </c>
      <c r="G262" s="8">
        <f t="shared" si="18"/>
        <v>0</v>
      </c>
      <c r="H262" s="4" t="str">
        <f t="shared" si="19"/>
        <v>On Time</v>
      </c>
    </row>
    <row r="263" spans="1:8" x14ac:dyDescent="0.3">
      <c r="A263" s="4" t="s">
        <v>75</v>
      </c>
      <c r="B263" s="5">
        <v>46213</v>
      </c>
      <c r="C263" s="7">
        <v>0.33611111111111103</v>
      </c>
      <c r="D263" s="7">
        <v>0.69652777777777797</v>
      </c>
      <c r="E263" s="8">
        <f t="shared" si="16"/>
        <v>8.6500000000000057</v>
      </c>
      <c r="F263" s="8">
        <f t="shared" si="17"/>
        <v>0</v>
      </c>
      <c r="G263" s="8">
        <f t="shared" si="18"/>
        <v>0</v>
      </c>
      <c r="H263" s="4" t="str">
        <f t="shared" si="19"/>
        <v>On Time</v>
      </c>
    </row>
    <row r="264" spans="1:8" x14ac:dyDescent="0.3">
      <c r="A264" s="4" t="s">
        <v>77</v>
      </c>
      <c r="B264" s="5">
        <v>46204</v>
      </c>
      <c r="C264" s="7">
        <v>0.34166666666666701</v>
      </c>
      <c r="D264" s="7">
        <v>0.77847222222222201</v>
      </c>
      <c r="E264" s="8">
        <f t="shared" si="16"/>
        <v>10.48333333333332</v>
      </c>
      <c r="F264" s="8">
        <f t="shared" si="17"/>
        <v>0</v>
      </c>
      <c r="G264" s="8">
        <f t="shared" si="18"/>
        <v>1.6833333333333274</v>
      </c>
      <c r="H264" s="4" t="str">
        <f t="shared" si="19"/>
        <v>On Time</v>
      </c>
    </row>
    <row r="265" spans="1:8" x14ac:dyDescent="0.3">
      <c r="A265" s="4" t="s">
        <v>77</v>
      </c>
      <c r="B265" s="5">
        <v>46205</v>
      </c>
      <c r="C265" s="7">
        <v>0.34236111111111101</v>
      </c>
      <c r="D265" s="7">
        <v>0.70416666666666705</v>
      </c>
      <c r="E265" s="8">
        <f t="shared" si="16"/>
        <v>8.6833333333333442</v>
      </c>
      <c r="F265" s="8">
        <f t="shared" si="17"/>
        <v>0</v>
      </c>
      <c r="G265" s="8">
        <f t="shared" si="18"/>
        <v>0</v>
      </c>
      <c r="H265" s="4" t="str">
        <f t="shared" si="19"/>
        <v>On Time</v>
      </c>
    </row>
    <row r="266" spans="1:8" x14ac:dyDescent="0.3">
      <c r="A266" s="4" t="s">
        <v>77</v>
      </c>
      <c r="B266" s="5">
        <v>46206</v>
      </c>
      <c r="C266" s="7">
        <v>0.327083333333333</v>
      </c>
      <c r="D266" s="7">
        <v>0.69652777777777797</v>
      </c>
      <c r="E266" s="8">
        <f t="shared" si="16"/>
        <v>8.8666666666666796</v>
      </c>
      <c r="F266" s="8">
        <f t="shared" si="17"/>
        <v>0</v>
      </c>
      <c r="G266" s="8">
        <f t="shared" si="18"/>
        <v>0</v>
      </c>
      <c r="H266" s="4" t="str">
        <f t="shared" si="19"/>
        <v>On Time</v>
      </c>
    </row>
    <row r="267" spans="1:8" x14ac:dyDescent="0.3">
      <c r="A267" s="4" t="s">
        <v>77</v>
      </c>
      <c r="B267" s="5">
        <v>46207</v>
      </c>
      <c r="C267" s="7">
        <v>0.33472222222222198</v>
      </c>
      <c r="D267" s="7">
        <v>0.7</v>
      </c>
      <c r="E267" s="8">
        <f t="shared" si="16"/>
        <v>8.766666666666671</v>
      </c>
      <c r="F267" s="8">
        <f t="shared" si="17"/>
        <v>0</v>
      </c>
      <c r="G267" s="8">
        <f t="shared" si="18"/>
        <v>0</v>
      </c>
      <c r="H267" s="4" t="str">
        <f t="shared" si="19"/>
        <v>On Time</v>
      </c>
    </row>
    <row r="268" spans="1:8" x14ac:dyDescent="0.3">
      <c r="A268" s="4" t="s">
        <v>77</v>
      </c>
      <c r="B268" s="5">
        <v>46208</v>
      </c>
      <c r="C268" s="7">
        <v>0.33680555555555602</v>
      </c>
      <c r="D268" s="7">
        <v>0.71458333333333302</v>
      </c>
      <c r="E268" s="8">
        <f t="shared" si="16"/>
        <v>9.0666666666666487</v>
      </c>
      <c r="F268" s="8">
        <f t="shared" si="17"/>
        <v>0</v>
      </c>
      <c r="G268" s="8">
        <f t="shared" si="18"/>
        <v>0.14999999999999147</v>
      </c>
      <c r="H268" s="4" t="str">
        <f t="shared" si="19"/>
        <v>On Time</v>
      </c>
    </row>
    <row r="269" spans="1:8" x14ac:dyDescent="0.3">
      <c r="A269" s="4" t="s">
        <v>77</v>
      </c>
      <c r="B269" s="5">
        <v>46209</v>
      </c>
      <c r="C269" s="7">
        <v>0.33750000000000002</v>
      </c>
      <c r="D269" s="7">
        <v>0.70208333333333295</v>
      </c>
      <c r="E269" s="8">
        <f t="shared" si="16"/>
        <v>8.7499999999999893</v>
      </c>
      <c r="F269" s="8">
        <f t="shared" si="17"/>
        <v>0</v>
      </c>
      <c r="G269" s="8">
        <f t="shared" si="18"/>
        <v>0</v>
      </c>
      <c r="H269" s="4" t="str">
        <f t="shared" si="19"/>
        <v>On Time</v>
      </c>
    </row>
    <row r="270" spans="1:8" x14ac:dyDescent="0.3">
      <c r="A270" s="4" t="s">
        <v>77</v>
      </c>
      <c r="B270" s="5">
        <v>46210</v>
      </c>
      <c r="C270" s="7">
        <v>0.32361111111111102</v>
      </c>
      <c r="D270" s="7">
        <v>0.77361111111111103</v>
      </c>
      <c r="E270" s="8">
        <f t="shared" si="16"/>
        <v>10.8</v>
      </c>
      <c r="F270" s="8">
        <f t="shared" si="17"/>
        <v>0</v>
      </c>
      <c r="G270" s="8">
        <f t="shared" si="18"/>
        <v>1.5666666666666638</v>
      </c>
      <c r="H270" s="4" t="str">
        <f t="shared" si="19"/>
        <v>On Time</v>
      </c>
    </row>
    <row r="271" spans="1:8" x14ac:dyDescent="0.3">
      <c r="A271" s="4" t="s">
        <v>77</v>
      </c>
      <c r="B271" s="5">
        <v>46211</v>
      </c>
      <c r="C271" s="7">
        <v>0.34236111111111101</v>
      </c>
      <c r="D271" s="7">
        <v>0.70277777777777795</v>
      </c>
      <c r="E271" s="8">
        <f t="shared" si="16"/>
        <v>8.6500000000000057</v>
      </c>
      <c r="F271" s="8">
        <f t="shared" si="17"/>
        <v>0</v>
      </c>
      <c r="G271" s="8">
        <f t="shared" si="18"/>
        <v>0</v>
      </c>
      <c r="H271" s="4" t="str">
        <f t="shared" si="19"/>
        <v>On Time</v>
      </c>
    </row>
    <row r="272" spans="1:8" x14ac:dyDescent="0.3">
      <c r="A272" s="4" t="s">
        <v>77</v>
      </c>
      <c r="B272" s="5">
        <v>46212</v>
      </c>
      <c r="C272" s="7">
        <v>0.32638888888888901</v>
      </c>
      <c r="D272" s="7">
        <v>0.77708333333333302</v>
      </c>
      <c r="E272" s="8">
        <f t="shared" si="16"/>
        <v>10.816666666666656</v>
      </c>
      <c r="F272" s="8">
        <f t="shared" si="17"/>
        <v>0</v>
      </c>
      <c r="G272" s="8">
        <f t="shared" si="18"/>
        <v>1.6499999999999915</v>
      </c>
      <c r="H272" s="4" t="str">
        <f t="shared" si="19"/>
        <v>On Time</v>
      </c>
    </row>
    <row r="273" spans="1:8" x14ac:dyDescent="0.3">
      <c r="A273" s="4" t="s">
        <v>77</v>
      </c>
      <c r="B273" s="5">
        <v>46213</v>
      </c>
      <c r="C273" s="7">
        <v>0.38263888888888897</v>
      </c>
      <c r="D273" s="7">
        <v>0.70486111111111105</v>
      </c>
      <c r="E273" s="8">
        <f t="shared" si="16"/>
        <v>7.7333333333333298</v>
      </c>
      <c r="F273" s="8">
        <f t="shared" si="17"/>
        <v>56.000000000000121</v>
      </c>
      <c r="G273" s="8">
        <f t="shared" si="18"/>
        <v>0</v>
      </c>
      <c r="H273" s="4" t="str">
        <f t="shared" si="19"/>
        <v>Late</v>
      </c>
    </row>
    <row r="274" spans="1:8" x14ac:dyDescent="0.3">
      <c r="A274" s="4" t="s">
        <v>79</v>
      </c>
      <c r="B274" s="5">
        <v>46204</v>
      </c>
      <c r="C274" s="7">
        <v>0.34027777777777801</v>
      </c>
      <c r="D274" s="7">
        <v>0.69930555555555596</v>
      </c>
      <c r="E274" s="8">
        <f t="shared" si="16"/>
        <v>8.6166666666666707</v>
      </c>
      <c r="F274" s="8">
        <f t="shared" si="17"/>
        <v>0</v>
      </c>
      <c r="G274" s="8">
        <f t="shared" si="18"/>
        <v>0</v>
      </c>
      <c r="H274" s="4" t="str">
        <f t="shared" si="19"/>
        <v>On Time</v>
      </c>
    </row>
    <row r="275" spans="1:8" x14ac:dyDescent="0.3">
      <c r="A275" s="4" t="s">
        <v>79</v>
      </c>
      <c r="B275" s="5">
        <v>46205</v>
      </c>
      <c r="C275" s="7">
        <v>0.33611111111111103</v>
      </c>
      <c r="D275" s="7">
        <v>0.70347222222222205</v>
      </c>
      <c r="E275" s="8">
        <f t="shared" si="16"/>
        <v>8.8166666666666647</v>
      </c>
      <c r="F275" s="8">
        <f t="shared" si="17"/>
        <v>0</v>
      </c>
      <c r="G275" s="8">
        <f t="shared" si="18"/>
        <v>0</v>
      </c>
      <c r="H275" s="4" t="str">
        <f t="shared" si="19"/>
        <v>On Time</v>
      </c>
    </row>
    <row r="276" spans="1:8" x14ac:dyDescent="0.3">
      <c r="A276" s="4" t="s">
        <v>79</v>
      </c>
      <c r="B276" s="5">
        <v>46206</v>
      </c>
      <c r="C276" s="7">
        <v>0.34027777777777801</v>
      </c>
      <c r="D276" s="7">
        <v>0.77222222222222203</v>
      </c>
      <c r="E276" s="8">
        <f t="shared" si="16"/>
        <v>10.366666666666656</v>
      </c>
      <c r="F276" s="8">
        <f t="shared" si="17"/>
        <v>0</v>
      </c>
      <c r="G276" s="8">
        <f t="shared" si="18"/>
        <v>1.5333333333333279</v>
      </c>
      <c r="H276" s="4" t="str">
        <f t="shared" si="19"/>
        <v>On Time</v>
      </c>
    </row>
    <row r="277" spans="1:8" x14ac:dyDescent="0.3">
      <c r="A277" s="4" t="s">
        <v>79</v>
      </c>
      <c r="B277" s="5">
        <v>46207</v>
      </c>
      <c r="C277" s="7">
        <v>0.33472222222222198</v>
      </c>
      <c r="D277" s="7">
        <v>0.73472222222222205</v>
      </c>
      <c r="E277" s="8">
        <f t="shared" si="16"/>
        <v>9.6000000000000014</v>
      </c>
      <c r="F277" s="8">
        <f t="shared" si="17"/>
        <v>0</v>
      </c>
      <c r="G277" s="8">
        <f t="shared" si="18"/>
        <v>0.63333333333332842</v>
      </c>
      <c r="H277" s="4" t="str">
        <f t="shared" si="19"/>
        <v>On Time</v>
      </c>
    </row>
    <row r="278" spans="1:8" x14ac:dyDescent="0.3">
      <c r="A278" s="4" t="s">
        <v>79</v>
      </c>
      <c r="B278" s="5">
        <v>46208</v>
      </c>
      <c r="C278" s="7">
        <v>0.34097222222222201</v>
      </c>
      <c r="D278" s="7">
        <v>0.70833333333333304</v>
      </c>
      <c r="E278" s="8">
        <f t="shared" si="16"/>
        <v>8.8166666666666647</v>
      </c>
      <c r="F278" s="8">
        <f t="shared" si="17"/>
        <v>0</v>
      </c>
      <c r="G278" s="8">
        <f t="shared" si="18"/>
        <v>0</v>
      </c>
      <c r="H278" s="4" t="str">
        <f t="shared" si="19"/>
        <v>On Time</v>
      </c>
    </row>
    <row r="279" spans="1:8" x14ac:dyDescent="0.3">
      <c r="A279" s="4" t="s">
        <v>79</v>
      </c>
      <c r="B279" s="5">
        <v>46209</v>
      </c>
      <c r="C279" s="7">
        <v>0.38680555555555601</v>
      </c>
      <c r="D279" s="7">
        <v>0.70069444444444395</v>
      </c>
      <c r="E279" s="8">
        <f t="shared" si="16"/>
        <v>7.5333333333333101</v>
      </c>
      <c r="F279" s="8">
        <f t="shared" si="17"/>
        <v>62.000000000000661</v>
      </c>
      <c r="G279" s="8">
        <f t="shared" si="18"/>
        <v>0</v>
      </c>
      <c r="H279" s="4" t="str">
        <f t="shared" si="19"/>
        <v>Late</v>
      </c>
    </row>
    <row r="280" spans="1:8" x14ac:dyDescent="0.3">
      <c r="A280" s="4" t="s">
        <v>79</v>
      </c>
      <c r="B280" s="5">
        <v>46210</v>
      </c>
      <c r="C280" s="7">
        <v>0.32152777777777802</v>
      </c>
      <c r="D280" s="7">
        <v>0.75833333333333297</v>
      </c>
      <c r="E280" s="8">
        <f t="shared" si="16"/>
        <v>10.483333333333318</v>
      </c>
      <c r="F280" s="8">
        <f t="shared" si="17"/>
        <v>0</v>
      </c>
      <c r="G280" s="8">
        <f t="shared" si="18"/>
        <v>1.1999999999999904</v>
      </c>
      <c r="H280" s="4" t="str">
        <f t="shared" si="19"/>
        <v>On Time</v>
      </c>
    </row>
    <row r="281" spans="1:8" x14ac:dyDescent="0.3">
      <c r="A281" s="4" t="s">
        <v>79</v>
      </c>
      <c r="B281" s="5">
        <v>46211</v>
      </c>
      <c r="C281" s="7">
        <v>0.32500000000000001</v>
      </c>
      <c r="D281" s="7">
        <v>0.70208333333333295</v>
      </c>
      <c r="E281" s="8">
        <f t="shared" si="16"/>
        <v>9.0499999999999901</v>
      </c>
      <c r="F281" s="8">
        <f t="shared" si="17"/>
        <v>0</v>
      </c>
      <c r="G281" s="8">
        <f t="shared" si="18"/>
        <v>0</v>
      </c>
      <c r="H281" s="4" t="str">
        <f t="shared" si="19"/>
        <v>On Time</v>
      </c>
    </row>
    <row r="282" spans="1:8" x14ac:dyDescent="0.3">
      <c r="A282" s="4" t="s">
        <v>79</v>
      </c>
      <c r="B282" s="5">
        <v>46213</v>
      </c>
      <c r="C282" s="7">
        <v>0.31944444444444398</v>
      </c>
      <c r="D282" s="7">
        <v>0.69861111111111096</v>
      </c>
      <c r="E282" s="8">
        <f t="shared" si="16"/>
        <v>9.1000000000000085</v>
      </c>
      <c r="F282" s="8">
        <f t="shared" si="17"/>
        <v>0</v>
      </c>
      <c r="G282" s="8">
        <f t="shared" si="18"/>
        <v>0</v>
      </c>
      <c r="H282" s="4" t="str">
        <f t="shared" si="19"/>
        <v>On Time</v>
      </c>
    </row>
    <row r="283" spans="1:8" x14ac:dyDescent="0.3">
      <c r="A283" s="4" t="s">
        <v>81</v>
      </c>
      <c r="B283" s="5">
        <v>46205</v>
      </c>
      <c r="C283" s="7">
        <v>0.32569444444444501</v>
      </c>
      <c r="D283" s="7">
        <v>0.74375000000000002</v>
      </c>
      <c r="E283" s="8">
        <f t="shared" si="16"/>
        <v>10.033333333333321</v>
      </c>
      <c r="F283" s="8">
        <f t="shared" si="17"/>
        <v>0</v>
      </c>
      <c r="G283" s="8">
        <f t="shared" si="18"/>
        <v>0.84999999999999964</v>
      </c>
      <c r="H283" s="4" t="str">
        <f t="shared" si="19"/>
        <v>On Time</v>
      </c>
    </row>
    <row r="284" spans="1:8" x14ac:dyDescent="0.3">
      <c r="A284" s="4" t="s">
        <v>81</v>
      </c>
      <c r="B284" s="5">
        <v>46207</v>
      </c>
      <c r="C284" s="7">
        <v>0.32638888888888901</v>
      </c>
      <c r="D284" s="7">
        <v>0.70763888888888904</v>
      </c>
      <c r="E284" s="8">
        <f t="shared" si="16"/>
        <v>9.15</v>
      </c>
      <c r="F284" s="8">
        <f t="shared" si="17"/>
        <v>0</v>
      </c>
      <c r="G284" s="8">
        <f t="shared" si="18"/>
        <v>0</v>
      </c>
      <c r="H284" s="4" t="str">
        <f t="shared" si="19"/>
        <v>On Time</v>
      </c>
    </row>
    <row r="285" spans="1:8" x14ac:dyDescent="0.3">
      <c r="A285" s="4" t="s">
        <v>81</v>
      </c>
      <c r="B285" s="5">
        <v>46208</v>
      </c>
      <c r="C285" s="7">
        <v>0.32291666666666702</v>
      </c>
      <c r="D285" s="7">
        <v>0.70625000000000004</v>
      </c>
      <c r="E285" s="8">
        <f t="shared" si="16"/>
        <v>9.1999999999999922</v>
      </c>
      <c r="F285" s="8">
        <f t="shared" si="17"/>
        <v>0</v>
      </c>
      <c r="G285" s="8">
        <f t="shared" si="18"/>
        <v>0</v>
      </c>
      <c r="H285" s="4" t="str">
        <f t="shared" si="19"/>
        <v>On Time</v>
      </c>
    </row>
    <row r="286" spans="1:8" x14ac:dyDescent="0.3">
      <c r="A286" s="4" t="s">
        <v>81</v>
      </c>
      <c r="B286" s="5">
        <v>46209</v>
      </c>
      <c r="C286" s="7">
        <v>0.33263888888888898</v>
      </c>
      <c r="D286" s="7">
        <v>0.76944444444444504</v>
      </c>
      <c r="E286" s="8">
        <f t="shared" si="16"/>
        <v>10.483333333333345</v>
      </c>
      <c r="F286" s="8">
        <f t="shared" si="17"/>
        <v>0</v>
      </c>
      <c r="G286" s="8">
        <f t="shared" si="18"/>
        <v>1.4666666666666801</v>
      </c>
      <c r="H286" s="4" t="str">
        <f t="shared" si="19"/>
        <v>On Time</v>
      </c>
    </row>
    <row r="287" spans="1:8" x14ac:dyDescent="0.3">
      <c r="A287" s="4" t="s">
        <v>81</v>
      </c>
      <c r="B287" s="5">
        <v>46210</v>
      </c>
      <c r="C287" s="7">
        <v>0.32291666666666702</v>
      </c>
      <c r="D287" s="7">
        <v>0.70416666666666705</v>
      </c>
      <c r="E287" s="8">
        <f t="shared" si="16"/>
        <v>9.15</v>
      </c>
      <c r="F287" s="8">
        <f t="shared" si="17"/>
        <v>0</v>
      </c>
      <c r="G287" s="8">
        <f t="shared" si="18"/>
        <v>0</v>
      </c>
      <c r="H287" s="4" t="str">
        <f t="shared" si="19"/>
        <v>On Time</v>
      </c>
    </row>
    <row r="288" spans="1:8" x14ac:dyDescent="0.3">
      <c r="A288" s="4" t="s">
        <v>81</v>
      </c>
      <c r="B288" s="5">
        <v>46211</v>
      </c>
      <c r="C288" s="7">
        <v>0.32430555555555601</v>
      </c>
      <c r="D288" s="7">
        <v>0.7</v>
      </c>
      <c r="E288" s="8">
        <f t="shared" si="16"/>
        <v>9.0166666666666551</v>
      </c>
      <c r="F288" s="8">
        <f t="shared" si="17"/>
        <v>0</v>
      </c>
      <c r="G288" s="8">
        <f t="shared" si="18"/>
        <v>0</v>
      </c>
      <c r="H288" s="4" t="str">
        <f t="shared" si="19"/>
        <v>On Time</v>
      </c>
    </row>
    <row r="289" spans="1:8" x14ac:dyDescent="0.3">
      <c r="A289" s="4" t="s">
        <v>81</v>
      </c>
      <c r="B289" s="5">
        <v>46212</v>
      </c>
      <c r="C289" s="7">
        <v>0.32500000000000001</v>
      </c>
      <c r="D289" s="7">
        <v>0.70625000000000004</v>
      </c>
      <c r="E289" s="8">
        <f t="shared" si="16"/>
        <v>9.15</v>
      </c>
      <c r="F289" s="8">
        <f t="shared" si="17"/>
        <v>0</v>
      </c>
      <c r="G289" s="8">
        <f t="shared" si="18"/>
        <v>0</v>
      </c>
      <c r="H289" s="4" t="str">
        <f t="shared" si="19"/>
        <v>On Time</v>
      </c>
    </row>
    <row r="290" spans="1:8" x14ac:dyDescent="0.3">
      <c r="A290" s="4" t="s">
        <v>81</v>
      </c>
      <c r="B290" s="5">
        <v>46213</v>
      </c>
      <c r="C290" s="7">
        <v>0.36736111111111103</v>
      </c>
      <c r="D290" s="7">
        <v>0.70486111111111105</v>
      </c>
      <c r="E290" s="8">
        <f t="shared" si="16"/>
        <v>8.1000000000000014</v>
      </c>
      <c r="F290" s="8">
        <f t="shared" si="17"/>
        <v>33.999999999999879</v>
      </c>
      <c r="G290" s="8">
        <f t="shared" si="18"/>
        <v>0</v>
      </c>
      <c r="H290" s="4" t="str">
        <f t="shared" si="19"/>
        <v>Late</v>
      </c>
    </row>
    <row r="291" spans="1:8" x14ac:dyDescent="0.3">
      <c r="A291" s="4" t="s">
        <v>83</v>
      </c>
      <c r="B291" s="5">
        <v>46204</v>
      </c>
      <c r="C291" s="7">
        <v>0.33750000000000002</v>
      </c>
      <c r="D291" s="7">
        <v>0.69583333333333297</v>
      </c>
      <c r="E291" s="8">
        <f t="shared" si="16"/>
        <v>8.5999999999999908</v>
      </c>
      <c r="F291" s="8">
        <f t="shared" si="17"/>
        <v>0</v>
      </c>
      <c r="G291" s="8">
        <f t="shared" si="18"/>
        <v>0</v>
      </c>
      <c r="H291" s="4" t="str">
        <f t="shared" si="19"/>
        <v>On Time</v>
      </c>
    </row>
    <row r="292" spans="1:8" x14ac:dyDescent="0.3">
      <c r="A292" s="4" t="s">
        <v>83</v>
      </c>
      <c r="B292" s="5">
        <v>46205</v>
      </c>
      <c r="C292" s="7">
        <v>0.33541666666666697</v>
      </c>
      <c r="D292" s="7">
        <v>0.69444444444444398</v>
      </c>
      <c r="E292" s="8">
        <f t="shared" si="16"/>
        <v>8.6166666666666476</v>
      </c>
      <c r="F292" s="8">
        <f t="shared" si="17"/>
        <v>0</v>
      </c>
      <c r="G292" s="8">
        <f t="shared" si="18"/>
        <v>0</v>
      </c>
      <c r="H292" s="4" t="str">
        <f t="shared" si="19"/>
        <v>On Time</v>
      </c>
    </row>
    <row r="293" spans="1:8" x14ac:dyDescent="0.3">
      <c r="A293" s="4" t="s">
        <v>83</v>
      </c>
      <c r="B293" s="5">
        <v>46206</v>
      </c>
      <c r="C293" s="7">
        <v>0.34861111111111098</v>
      </c>
      <c r="D293" s="7">
        <v>0.70138888888888895</v>
      </c>
      <c r="E293" s="8">
        <f t="shared" si="16"/>
        <v>8.4666666666666721</v>
      </c>
      <c r="F293" s="8">
        <f t="shared" si="17"/>
        <v>6.9999999999998153</v>
      </c>
      <c r="G293" s="8">
        <f t="shared" si="18"/>
        <v>0</v>
      </c>
      <c r="H293" s="4" t="str">
        <f t="shared" si="19"/>
        <v>Late</v>
      </c>
    </row>
    <row r="294" spans="1:8" x14ac:dyDescent="0.3">
      <c r="A294" s="4" t="s">
        <v>83</v>
      </c>
      <c r="B294" s="5">
        <v>46207</v>
      </c>
      <c r="C294" s="7">
        <v>0.32361111111111102</v>
      </c>
      <c r="D294" s="7">
        <v>0.70486111111111105</v>
      </c>
      <c r="E294" s="8">
        <f t="shared" si="16"/>
        <v>9.15</v>
      </c>
      <c r="F294" s="8">
        <f t="shared" si="17"/>
        <v>0</v>
      </c>
      <c r="G294" s="8">
        <f t="shared" si="18"/>
        <v>0</v>
      </c>
      <c r="H294" s="4" t="str">
        <f t="shared" si="19"/>
        <v>On Time</v>
      </c>
    </row>
    <row r="295" spans="1:8" x14ac:dyDescent="0.3">
      <c r="A295" s="4" t="s">
        <v>83</v>
      </c>
      <c r="B295" s="5">
        <v>46208</v>
      </c>
      <c r="C295" s="7">
        <v>0.32569444444444501</v>
      </c>
      <c r="D295" s="7">
        <v>0.77152777777777803</v>
      </c>
      <c r="E295" s="8">
        <f t="shared" si="16"/>
        <v>10.699999999999992</v>
      </c>
      <c r="F295" s="8">
        <f t="shared" si="17"/>
        <v>0</v>
      </c>
      <c r="G295" s="8">
        <f t="shared" si="18"/>
        <v>1.5166666666666719</v>
      </c>
      <c r="H295" s="4" t="str">
        <f t="shared" si="19"/>
        <v>On Time</v>
      </c>
    </row>
    <row r="296" spans="1:8" x14ac:dyDescent="0.3">
      <c r="A296" s="4" t="s">
        <v>83</v>
      </c>
      <c r="B296" s="5">
        <v>46209</v>
      </c>
      <c r="C296" s="7">
        <v>0.32500000000000001</v>
      </c>
      <c r="D296" s="7">
        <v>0.70208333333333295</v>
      </c>
      <c r="E296" s="8">
        <f t="shared" si="16"/>
        <v>9.0499999999999901</v>
      </c>
      <c r="F296" s="8">
        <f t="shared" si="17"/>
        <v>0</v>
      </c>
      <c r="G296" s="8">
        <f t="shared" si="18"/>
        <v>0</v>
      </c>
      <c r="H296" s="4" t="str">
        <f t="shared" si="19"/>
        <v>On Time</v>
      </c>
    </row>
    <row r="297" spans="1:8" x14ac:dyDescent="0.3">
      <c r="A297" s="4" t="s">
        <v>83</v>
      </c>
      <c r="B297" s="5">
        <v>46210</v>
      </c>
      <c r="C297" s="7">
        <v>0.34236111111111101</v>
      </c>
      <c r="D297" s="7">
        <v>0.69861111111111096</v>
      </c>
      <c r="E297" s="8">
        <f t="shared" si="16"/>
        <v>8.5499999999999989</v>
      </c>
      <c r="F297" s="8">
        <f t="shared" si="17"/>
        <v>0</v>
      </c>
      <c r="G297" s="8">
        <f t="shared" si="18"/>
        <v>0</v>
      </c>
      <c r="H297" s="4" t="str">
        <f t="shared" si="19"/>
        <v>On Time</v>
      </c>
    </row>
    <row r="298" spans="1:8" x14ac:dyDescent="0.3">
      <c r="A298" s="4" t="s">
        <v>83</v>
      </c>
      <c r="B298" s="5">
        <v>46211</v>
      </c>
      <c r="C298" s="7">
        <v>0.33402777777777798</v>
      </c>
      <c r="D298" s="7">
        <v>0.70625000000000004</v>
      </c>
      <c r="E298" s="8">
        <f t="shared" si="16"/>
        <v>8.93333333333333</v>
      </c>
      <c r="F298" s="8">
        <f t="shared" si="17"/>
        <v>0</v>
      </c>
      <c r="G298" s="8">
        <f t="shared" si="18"/>
        <v>0</v>
      </c>
      <c r="H298" s="4" t="str">
        <f t="shared" si="19"/>
        <v>On Time</v>
      </c>
    </row>
    <row r="299" spans="1:8" x14ac:dyDescent="0.3">
      <c r="A299" s="4" t="s">
        <v>83</v>
      </c>
      <c r="B299" s="5">
        <v>46212</v>
      </c>
      <c r="C299" s="7">
        <v>0.359722222222222</v>
      </c>
      <c r="D299" s="7">
        <v>0.70486111111111105</v>
      </c>
      <c r="E299" s="8">
        <f t="shared" si="16"/>
        <v>8.2833333333333368</v>
      </c>
      <c r="F299" s="8">
        <f t="shared" si="17"/>
        <v>22.99999999999968</v>
      </c>
      <c r="G299" s="8">
        <f t="shared" si="18"/>
        <v>0</v>
      </c>
      <c r="H299" s="4" t="str">
        <f t="shared" si="19"/>
        <v>Late</v>
      </c>
    </row>
    <row r="300" spans="1:8" x14ac:dyDescent="0.3">
      <c r="A300" s="4" t="s">
        <v>83</v>
      </c>
      <c r="B300" s="5">
        <v>46213</v>
      </c>
      <c r="C300" s="7">
        <v>0.34166666666666701</v>
      </c>
      <c r="D300" s="7">
        <v>0.70555555555555605</v>
      </c>
      <c r="E300" s="8">
        <f t="shared" si="16"/>
        <v>8.7333333333333378</v>
      </c>
      <c r="F300" s="8">
        <f t="shared" si="17"/>
        <v>0</v>
      </c>
      <c r="G300" s="8">
        <f t="shared" si="18"/>
        <v>0</v>
      </c>
      <c r="H300" s="4" t="str">
        <f t="shared" si="19"/>
        <v>On Time</v>
      </c>
    </row>
    <row r="301" spans="1:8" x14ac:dyDescent="0.3">
      <c r="A301" s="4" t="s">
        <v>85</v>
      </c>
      <c r="B301" s="5">
        <v>46204</v>
      </c>
      <c r="C301" s="7">
        <v>0.34375</v>
      </c>
      <c r="D301" s="7">
        <v>0.70625000000000004</v>
      </c>
      <c r="E301" s="8">
        <f t="shared" si="16"/>
        <v>8.7000000000000011</v>
      </c>
      <c r="F301" s="8">
        <f t="shared" si="17"/>
        <v>0</v>
      </c>
      <c r="G301" s="8">
        <f t="shared" si="18"/>
        <v>0</v>
      </c>
      <c r="H301" s="4" t="str">
        <f t="shared" si="19"/>
        <v>On Time</v>
      </c>
    </row>
    <row r="302" spans="1:8" x14ac:dyDescent="0.3">
      <c r="A302" s="4" t="s">
        <v>85</v>
      </c>
      <c r="B302" s="5">
        <v>46205</v>
      </c>
      <c r="C302" s="7">
        <v>0.33680555555555602</v>
      </c>
      <c r="D302" s="7">
        <v>0.69444444444444398</v>
      </c>
      <c r="E302" s="8">
        <f t="shared" si="16"/>
        <v>8.5833333333333108</v>
      </c>
      <c r="F302" s="8">
        <f t="shared" si="17"/>
        <v>0</v>
      </c>
      <c r="G302" s="8">
        <f t="shared" si="18"/>
        <v>0</v>
      </c>
      <c r="H302" s="4" t="str">
        <f t="shared" si="19"/>
        <v>On Time</v>
      </c>
    </row>
    <row r="303" spans="1:8" x14ac:dyDescent="0.3">
      <c r="A303" s="4" t="s">
        <v>85</v>
      </c>
      <c r="B303" s="5">
        <v>46206</v>
      </c>
      <c r="C303" s="7">
        <v>0.38333333333333303</v>
      </c>
      <c r="D303" s="7">
        <v>0.70763888888888904</v>
      </c>
      <c r="E303" s="8">
        <f t="shared" si="16"/>
        <v>7.7833333333333439</v>
      </c>
      <c r="F303" s="8">
        <f t="shared" si="17"/>
        <v>56.999999999999559</v>
      </c>
      <c r="G303" s="8">
        <f t="shared" si="18"/>
        <v>0</v>
      </c>
      <c r="H303" s="4" t="str">
        <f t="shared" si="19"/>
        <v>Late</v>
      </c>
    </row>
    <row r="304" spans="1:8" x14ac:dyDescent="0.3">
      <c r="A304" s="4" t="s">
        <v>85</v>
      </c>
      <c r="B304" s="5">
        <v>46207</v>
      </c>
      <c r="C304" s="7">
        <v>0.32152777777777802</v>
      </c>
      <c r="D304" s="7">
        <v>0.70625000000000004</v>
      </c>
      <c r="E304" s="8">
        <f t="shared" si="16"/>
        <v>9.233333333333329</v>
      </c>
      <c r="F304" s="8">
        <f t="shared" si="17"/>
        <v>0</v>
      </c>
      <c r="G304" s="8">
        <f t="shared" si="18"/>
        <v>0</v>
      </c>
      <c r="H304" s="4" t="str">
        <f t="shared" si="19"/>
        <v>On Time</v>
      </c>
    </row>
    <row r="305" spans="1:8" x14ac:dyDescent="0.3">
      <c r="A305" s="4" t="s">
        <v>85</v>
      </c>
      <c r="B305" s="5">
        <v>46208</v>
      </c>
      <c r="C305" s="7">
        <v>0.32569444444444501</v>
      </c>
      <c r="D305" s="7">
        <v>0.70763888888888904</v>
      </c>
      <c r="E305" s="8">
        <f t="shared" si="16"/>
        <v>9.1666666666666572</v>
      </c>
      <c r="F305" s="8">
        <f t="shared" si="17"/>
        <v>0</v>
      </c>
      <c r="G305" s="8">
        <f t="shared" si="18"/>
        <v>0</v>
      </c>
      <c r="H305" s="4" t="str">
        <f t="shared" si="19"/>
        <v>On Time</v>
      </c>
    </row>
    <row r="306" spans="1:8" x14ac:dyDescent="0.3">
      <c r="A306" s="4" t="s">
        <v>85</v>
      </c>
      <c r="B306" s="5">
        <v>46209</v>
      </c>
      <c r="C306" s="7">
        <v>0.32291666666666702</v>
      </c>
      <c r="D306" s="7">
        <v>0.76736111111111105</v>
      </c>
      <c r="E306" s="8">
        <f t="shared" si="16"/>
        <v>10.666666666666657</v>
      </c>
      <c r="F306" s="8">
        <f t="shared" si="17"/>
        <v>0</v>
      </c>
      <c r="G306" s="8">
        <f t="shared" si="18"/>
        <v>1.4166666666666643</v>
      </c>
      <c r="H306" s="4" t="str">
        <f t="shared" si="19"/>
        <v>On Time</v>
      </c>
    </row>
    <row r="307" spans="1:8" x14ac:dyDescent="0.3">
      <c r="A307" s="4" t="s">
        <v>85</v>
      </c>
      <c r="B307" s="5">
        <v>46210</v>
      </c>
      <c r="C307" s="7">
        <v>0.327083333333333</v>
      </c>
      <c r="D307" s="7">
        <v>0.72430555555555598</v>
      </c>
      <c r="E307" s="8">
        <f t="shared" si="16"/>
        <v>9.533333333333351</v>
      </c>
      <c r="F307" s="8">
        <f t="shared" si="17"/>
        <v>0</v>
      </c>
      <c r="G307" s="8">
        <f t="shared" si="18"/>
        <v>0.38333333333334263</v>
      </c>
      <c r="H307" s="4" t="str">
        <f t="shared" si="19"/>
        <v>On Time</v>
      </c>
    </row>
    <row r="308" spans="1:8" x14ac:dyDescent="0.3">
      <c r="A308" s="4" t="s">
        <v>85</v>
      </c>
      <c r="B308" s="5">
        <v>46211</v>
      </c>
      <c r="C308" s="7">
        <v>0.33750000000000002</v>
      </c>
      <c r="D308" s="7">
        <v>0.70833333333333304</v>
      </c>
      <c r="E308" s="8">
        <f t="shared" si="16"/>
        <v>8.8999999999999915</v>
      </c>
      <c r="F308" s="8">
        <f t="shared" si="17"/>
        <v>0</v>
      </c>
      <c r="G308" s="8">
        <f t="shared" si="18"/>
        <v>0</v>
      </c>
      <c r="H308" s="4" t="str">
        <f t="shared" si="19"/>
        <v>On Time</v>
      </c>
    </row>
    <row r="309" spans="1:8" x14ac:dyDescent="0.3">
      <c r="A309" s="4" t="s">
        <v>85</v>
      </c>
      <c r="B309" s="5">
        <v>46212</v>
      </c>
      <c r="C309" s="7">
        <v>0.38541666666666702</v>
      </c>
      <c r="D309" s="7">
        <v>0.70069444444444395</v>
      </c>
      <c r="E309" s="8">
        <f t="shared" si="16"/>
        <v>7.5666666666666469</v>
      </c>
      <c r="F309" s="8">
        <f t="shared" si="17"/>
        <v>60.000000000000504</v>
      </c>
      <c r="G309" s="8">
        <f t="shared" si="18"/>
        <v>0</v>
      </c>
      <c r="H309" s="4" t="str">
        <f t="shared" si="19"/>
        <v>Late</v>
      </c>
    </row>
    <row r="310" spans="1:8" x14ac:dyDescent="0.3">
      <c r="A310" s="4" t="s">
        <v>85</v>
      </c>
      <c r="B310" s="5">
        <v>46213</v>
      </c>
      <c r="C310" s="7">
        <v>0.33055555555555599</v>
      </c>
      <c r="D310" s="7">
        <v>0.69791666666666696</v>
      </c>
      <c r="E310" s="8">
        <f t="shared" si="16"/>
        <v>8.8166666666666629</v>
      </c>
      <c r="F310" s="8">
        <f t="shared" si="17"/>
        <v>0</v>
      </c>
      <c r="G310" s="8">
        <f t="shared" si="18"/>
        <v>0</v>
      </c>
      <c r="H310" s="4" t="str">
        <f t="shared" si="19"/>
        <v>On Time</v>
      </c>
    </row>
    <row r="311" spans="1:8" x14ac:dyDescent="0.3">
      <c r="A311" s="4" t="s">
        <v>87</v>
      </c>
      <c r="B311" s="5">
        <v>46204</v>
      </c>
      <c r="C311" s="7">
        <v>0.33750000000000002</v>
      </c>
      <c r="D311" s="7">
        <v>0.70277777777777795</v>
      </c>
      <c r="E311" s="8">
        <f t="shared" si="16"/>
        <v>8.7666666666666693</v>
      </c>
      <c r="F311" s="8">
        <f t="shared" si="17"/>
        <v>0</v>
      </c>
      <c r="G311" s="8">
        <f t="shared" si="18"/>
        <v>0</v>
      </c>
      <c r="H311" s="4" t="str">
        <f t="shared" si="19"/>
        <v>On Time</v>
      </c>
    </row>
    <row r="312" spans="1:8" x14ac:dyDescent="0.3">
      <c r="A312" s="4" t="s">
        <v>87</v>
      </c>
      <c r="B312" s="5">
        <v>46205</v>
      </c>
      <c r="C312" s="7">
        <v>0.31944444444444398</v>
      </c>
      <c r="D312" s="7">
        <v>0.70763888888888904</v>
      </c>
      <c r="E312" s="8">
        <f t="shared" si="16"/>
        <v>9.3166666666666806</v>
      </c>
      <c r="F312" s="8">
        <f t="shared" si="17"/>
        <v>0</v>
      </c>
      <c r="G312" s="8">
        <f t="shared" si="18"/>
        <v>0</v>
      </c>
      <c r="H312" s="4" t="str">
        <f t="shared" si="19"/>
        <v>On Time</v>
      </c>
    </row>
    <row r="313" spans="1:8" x14ac:dyDescent="0.3">
      <c r="A313" s="4" t="s">
        <v>87</v>
      </c>
      <c r="B313" s="5">
        <v>46206</v>
      </c>
      <c r="C313" s="7">
        <v>0.32569444444444501</v>
      </c>
      <c r="D313" s="7">
        <v>0.70347222222222205</v>
      </c>
      <c r="E313" s="8">
        <f t="shared" si="16"/>
        <v>9.0666666666666487</v>
      </c>
      <c r="F313" s="8">
        <f t="shared" si="17"/>
        <v>0</v>
      </c>
      <c r="G313" s="8">
        <f t="shared" si="18"/>
        <v>0</v>
      </c>
      <c r="H313" s="4" t="str">
        <f t="shared" si="19"/>
        <v>On Time</v>
      </c>
    </row>
    <row r="314" spans="1:8" x14ac:dyDescent="0.3">
      <c r="A314" s="4" t="s">
        <v>87</v>
      </c>
      <c r="B314" s="5">
        <v>46207</v>
      </c>
      <c r="C314" s="7">
        <v>0.32291666666666702</v>
      </c>
      <c r="D314" s="7">
        <v>0.69861111111111096</v>
      </c>
      <c r="E314" s="8">
        <f t="shared" si="16"/>
        <v>9.0166666666666551</v>
      </c>
      <c r="F314" s="8">
        <f t="shared" si="17"/>
        <v>0</v>
      </c>
      <c r="G314" s="8">
        <f t="shared" si="18"/>
        <v>0</v>
      </c>
      <c r="H314" s="4" t="str">
        <f t="shared" si="19"/>
        <v>On Time</v>
      </c>
    </row>
    <row r="315" spans="1:8" x14ac:dyDescent="0.3">
      <c r="A315" s="4" t="s">
        <v>87</v>
      </c>
      <c r="B315" s="5">
        <v>46208</v>
      </c>
      <c r="C315" s="7">
        <v>0.31944444444444398</v>
      </c>
      <c r="D315" s="7">
        <v>0.69444444444444398</v>
      </c>
      <c r="E315" s="8">
        <f t="shared" si="16"/>
        <v>9</v>
      </c>
      <c r="F315" s="8">
        <f t="shared" si="17"/>
        <v>0</v>
      </c>
      <c r="G315" s="8">
        <f t="shared" si="18"/>
        <v>0</v>
      </c>
      <c r="H315" s="4" t="str">
        <f t="shared" si="19"/>
        <v>On Time</v>
      </c>
    </row>
    <row r="316" spans="1:8" x14ac:dyDescent="0.3">
      <c r="A316" s="4" t="s">
        <v>87</v>
      </c>
      <c r="B316" s="5">
        <v>46209</v>
      </c>
      <c r="C316" s="7">
        <v>0.32430555555555601</v>
      </c>
      <c r="D316" s="7">
        <v>0.69583333333333297</v>
      </c>
      <c r="E316" s="8">
        <f t="shared" si="16"/>
        <v>8.9166666666666465</v>
      </c>
      <c r="F316" s="8">
        <f t="shared" si="17"/>
        <v>0</v>
      </c>
      <c r="G316" s="8">
        <f t="shared" si="18"/>
        <v>0</v>
      </c>
      <c r="H316" s="4" t="str">
        <f t="shared" si="19"/>
        <v>On Time</v>
      </c>
    </row>
    <row r="317" spans="1:8" x14ac:dyDescent="0.3">
      <c r="A317" s="4" t="s">
        <v>87</v>
      </c>
      <c r="B317" s="5">
        <v>46210</v>
      </c>
      <c r="C317" s="7">
        <v>0.32430555555555601</v>
      </c>
      <c r="D317" s="7">
        <v>0.70972222222222203</v>
      </c>
      <c r="E317" s="8">
        <f t="shared" si="16"/>
        <v>9.249999999999984</v>
      </c>
      <c r="F317" s="8">
        <f t="shared" si="17"/>
        <v>0</v>
      </c>
      <c r="G317" s="8">
        <f t="shared" si="18"/>
        <v>3.3333333333327886E-2</v>
      </c>
      <c r="H317" s="4" t="str">
        <f t="shared" si="19"/>
        <v>On Time</v>
      </c>
    </row>
    <row r="318" spans="1:8" x14ac:dyDescent="0.3">
      <c r="A318" s="4" t="s">
        <v>87</v>
      </c>
      <c r="B318" s="5">
        <v>46211</v>
      </c>
      <c r="C318" s="7">
        <v>0.32986111111111099</v>
      </c>
      <c r="D318" s="7">
        <v>0.69791666666666696</v>
      </c>
      <c r="E318" s="8">
        <f t="shared" si="16"/>
        <v>8.8333333333333428</v>
      </c>
      <c r="F318" s="8">
        <f t="shared" si="17"/>
        <v>0</v>
      </c>
      <c r="G318" s="8">
        <f t="shared" si="18"/>
        <v>0</v>
      </c>
      <c r="H318" s="4" t="str">
        <f t="shared" si="19"/>
        <v>On Time</v>
      </c>
    </row>
    <row r="319" spans="1:8" x14ac:dyDescent="0.3">
      <c r="A319" s="4" t="s">
        <v>87</v>
      </c>
      <c r="B319" s="5">
        <v>46212</v>
      </c>
      <c r="C319" s="7">
        <v>0.33541666666666697</v>
      </c>
      <c r="D319" s="7">
        <v>0.69722222222222197</v>
      </c>
      <c r="E319" s="8">
        <f t="shared" si="16"/>
        <v>8.6833333333333194</v>
      </c>
      <c r="F319" s="8">
        <f t="shared" si="17"/>
        <v>0</v>
      </c>
      <c r="G319" s="8">
        <f t="shared" si="18"/>
        <v>0</v>
      </c>
      <c r="H319" s="4" t="str">
        <f t="shared" si="19"/>
        <v>On Time</v>
      </c>
    </row>
    <row r="320" spans="1:8" x14ac:dyDescent="0.3">
      <c r="A320" s="4" t="s">
        <v>87</v>
      </c>
      <c r="B320" s="5">
        <v>46213</v>
      </c>
      <c r="C320" s="7">
        <v>0.32291666666666702</v>
      </c>
      <c r="D320" s="7">
        <v>0.70625000000000004</v>
      </c>
      <c r="E320" s="8">
        <f t="shared" si="16"/>
        <v>9.1999999999999922</v>
      </c>
      <c r="F320" s="8">
        <f t="shared" si="17"/>
        <v>0</v>
      </c>
      <c r="G320" s="8">
        <f t="shared" si="18"/>
        <v>0</v>
      </c>
      <c r="H320" s="4" t="str">
        <f t="shared" si="19"/>
        <v>On Time</v>
      </c>
    </row>
    <row r="321" spans="1:8" x14ac:dyDescent="0.3">
      <c r="A321" s="4" t="s">
        <v>89</v>
      </c>
      <c r="B321" s="5">
        <v>46204</v>
      </c>
      <c r="C321" s="7">
        <v>0.33263888888888898</v>
      </c>
      <c r="D321" s="7">
        <v>0.69791666666666696</v>
      </c>
      <c r="E321" s="8">
        <f t="shared" si="16"/>
        <v>8.766666666666671</v>
      </c>
      <c r="F321" s="8">
        <f t="shared" si="17"/>
        <v>0</v>
      </c>
      <c r="G321" s="8">
        <f t="shared" si="18"/>
        <v>0</v>
      </c>
      <c r="H321" s="4" t="str">
        <f t="shared" si="19"/>
        <v>On Time</v>
      </c>
    </row>
    <row r="322" spans="1:8" x14ac:dyDescent="0.3">
      <c r="A322" s="4" t="s">
        <v>89</v>
      </c>
      <c r="B322" s="5">
        <v>46206</v>
      </c>
      <c r="C322" s="7">
        <v>0.34097222222222201</v>
      </c>
      <c r="D322" s="7">
        <v>0.70138888888888895</v>
      </c>
      <c r="E322" s="8">
        <f t="shared" ref="E322:E338" si="20">(D322-C322)*24</f>
        <v>8.6500000000000057</v>
      </c>
      <c r="F322" s="8">
        <f t="shared" ref="F322:F338" si="21">IF(C322&gt;TIME(8,15,0),(C322-TIME(8,15,0))*1440,0)</f>
        <v>0</v>
      </c>
      <c r="G322" s="8">
        <f t="shared" ref="G322:G338" si="22">IF(D322&gt;TIME(17,0,0),(D322-TIME(17,0,0))*24,0)</f>
        <v>0</v>
      </c>
      <c r="H322" s="4" t="str">
        <f t="shared" ref="H322:H338" si="23">IF(C322&gt;TIME(8,15,0),"Late","On Time")</f>
        <v>On Time</v>
      </c>
    </row>
    <row r="323" spans="1:8" x14ac:dyDescent="0.3">
      <c r="A323" s="4" t="s">
        <v>89</v>
      </c>
      <c r="B323" s="5">
        <v>46207</v>
      </c>
      <c r="C323" s="7">
        <v>0.33888888888888902</v>
      </c>
      <c r="D323" s="7">
        <v>0.69791666666666696</v>
      </c>
      <c r="E323" s="8">
        <f t="shared" si="20"/>
        <v>8.6166666666666707</v>
      </c>
      <c r="F323" s="8">
        <f t="shared" si="21"/>
        <v>0</v>
      </c>
      <c r="G323" s="8">
        <f t="shared" si="22"/>
        <v>0</v>
      </c>
      <c r="H323" s="4" t="str">
        <f t="shared" si="23"/>
        <v>On Time</v>
      </c>
    </row>
    <row r="324" spans="1:8" x14ac:dyDescent="0.3">
      <c r="A324" s="4" t="s">
        <v>89</v>
      </c>
      <c r="B324" s="5">
        <v>46208</v>
      </c>
      <c r="C324" s="7">
        <v>0.38263888888888897</v>
      </c>
      <c r="D324" s="7">
        <v>0.76527777777777795</v>
      </c>
      <c r="E324" s="8">
        <f t="shared" si="20"/>
        <v>9.1833333333333353</v>
      </c>
      <c r="F324" s="8">
        <f t="shared" si="21"/>
        <v>56.000000000000121</v>
      </c>
      <c r="G324" s="8">
        <f t="shared" si="22"/>
        <v>1.3666666666666698</v>
      </c>
      <c r="H324" s="4" t="str">
        <f t="shared" si="23"/>
        <v>Late</v>
      </c>
    </row>
    <row r="325" spans="1:8" x14ac:dyDescent="0.3">
      <c r="A325" s="4" t="s">
        <v>89</v>
      </c>
      <c r="B325" s="5">
        <v>46209</v>
      </c>
      <c r="C325" s="7">
        <v>0.33750000000000002</v>
      </c>
      <c r="D325" s="7">
        <v>0.70416666666666705</v>
      </c>
      <c r="E325" s="8">
        <f t="shared" si="20"/>
        <v>8.8000000000000078</v>
      </c>
      <c r="F325" s="8">
        <f t="shared" si="21"/>
        <v>0</v>
      </c>
      <c r="G325" s="8">
        <f t="shared" si="22"/>
        <v>0</v>
      </c>
      <c r="H325" s="4" t="str">
        <f t="shared" si="23"/>
        <v>On Time</v>
      </c>
    </row>
    <row r="326" spans="1:8" x14ac:dyDescent="0.3">
      <c r="A326" s="4" t="s">
        <v>89</v>
      </c>
      <c r="B326" s="5">
        <v>46210</v>
      </c>
      <c r="C326" s="7">
        <v>0.33402777777777798</v>
      </c>
      <c r="D326" s="7">
        <v>0.69513888888888897</v>
      </c>
      <c r="E326" s="8">
        <f t="shared" si="20"/>
        <v>8.6666666666666643</v>
      </c>
      <c r="F326" s="8">
        <f t="shared" si="21"/>
        <v>0</v>
      </c>
      <c r="G326" s="8">
        <f t="shared" si="22"/>
        <v>0</v>
      </c>
      <c r="H326" s="4" t="str">
        <f t="shared" si="23"/>
        <v>On Time</v>
      </c>
    </row>
    <row r="327" spans="1:8" x14ac:dyDescent="0.3">
      <c r="A327" s="4" t="s">
        <v>89</v>
      </c>
      <c r="B327" s="5">
        <v>46211</v>
      </c>
      <c r="C327" s="7">
        <v>0.33402777777777798</v>
      </c>
      <c r="D327" s="7">
        <v>0.69444444444444398</v>
      </c>
      <c r="E327" s="8">
        <f t="shared" si="20"/>
        <v>8.6499999999999844</v>
      </c>
      <c r="F327" s="8">
        <f t="shared" si="21"/>
        <v>0</v>
      </c>
      <c r="G327" s="8">
        <f t="shared" si="22"/>
        <v>0</v>
      </c>
      <c r="H327" s="4" t="str">
        <f t="shared" si="23"/>
        <v>On Time</v>
      </c>
    </row>
    <row r="328" spans="1:8" x14ac:dyDescent="0.3">
      <c r="A328" s="4" t="s">
        <v>89</v>
      </c>
      <c r="B328" s="5">
        <v>46212</v>
      </c>
      <c r="C328" s="7">
        <v>0.33263888888888898</v>
      </c>
      <c r="D328" s="7">
        <v>0.69930555555555596</v>
      </c>
      <c r="E328" s="8">
        <f t="shared" si="20"/>
        <v>8.8000000000000078</v>
      </c>
      <c r="F328" s="8">
        <f t="shared" si="21"/>
        <v>0</v>
      </c>
      <c r="G328" s="8">
        <f t="shared" si="22"/>
        <v>0</v>
      </c>
      <c r="H328" s="4" t="str">
        <f t="shared" si="23"/>
        <v>On Time</v>
      </c>
    </row>
    <row r="329" spans="1:8" x14ac:dyDescent="0.3">
      <c r="A329" s="4" t="s">
        <v>89</v>
      </c>
      <c r="B329" s="5">
        <v>46213</v>
      </c>
      <c r="C329" s="7">
        <v>0.33611111111111103</v>
      </c>
      <c r="D329" s="7">
        <v>0.69930555555555596</v>
      </c>
      <c r="E329" s="8">
        <f t="shared" si="20"/>
        <v>8.7166666666666792</v>
      </c>
      <c r="F329" s="8">
        <f t="shared" si="21"/>
        <v>0</v>
      </c>
      <c r="G329" s="8">
        <f t="shared" si="22"/>
        <v>0</v>
      </c>
      <c r="H329" s="4" t="str">
        <f t="shared" si="23"/>
        <v>On Time</v>
      </c>
    </row>
    <row r="330" spans="1:8" x14ac:dyDescent="0.3">
      <c r="A330" s="4" t="s">
        <v>91</v>
      </c>
      <c r="B330" s="5">
        <v>46204</v>
      </c>
      <c r="C330" s="7">
        <v>0.32569444444444501</v>
      </c>
      <c r="D330" s="7">
        <v>0.70694444444444504</v>
      </c>
      <c r="E330" s="8">
        <f t="shared" si="20"/>
        <v>9.15</v>
      </c>
      <c r="F330" s="8">
        <f t="shared" si="21"/>
        <v>0</v>
      </c>
      <c r="G330" s="8">
        <f t="shared" si="22"/>
        <v>0</v>
      </c>
      <c r="H330" s="4" t="str">
        <f t="shared" si="23"/>
        <v>On Time</v>
      </c>
    </row>
    <row r="331" spans="1:8" x14ac:dyDescent="0.3">
      <c r="A331" s="4" t="s">
        <v>91</v>
      </c>
      <c r="B331" s="5">
        <v>46205</v>
      </c>
      <c r="C331" s="7">
        <v>0.38472222222222202</v>
      </c>
      <c r="D331" s="7">
        <v>0.70625000000000004</v>
      </c>
      <c r="E331" s="8">
        <f t="shared" si="20"/>
        <v>7.7166666666666721</v>
      </c>
      <c r="F331" s="8">
        <f t="shared" si="21"/>
        <v>58.999999999999709</v>
      </c>
      <c r="G331" s="8">
        <f t="shared" si="22"/>
        <v>0</v>
      </c>
      <c r="H331" s="4" t="str">
        <f t="shared" si="23"/>
        <v>Late</v>
      </c>
    </row>
    <row r="332" spans="1:8" x14ac:dyDescent="0.3">
      <c r="A332" s="4" t="s">
        <v>91</v>
      </c>
      <c r="B332" s="5">
        <v>46206</v>
      </c>
      <c r="C332" s="7">
        <v>0.34097222222222201</v>
      </c>
      <c r="D332" s="7">
        <v>0.69583333333333297</v>
      </c>
      <c r="E332" s="8">
        <f t="shared" si="20"/>
        <v>8.5166666666666622</v>
      </c>
      <c r="F332" s="8">
        <f t="shared" si="21"/>
        <v>0</v>
      </c>
      <c r="G332" s="8">
        <f t="shared" si="22"/>
        <v>0</v>
      </c>
      <c r="H332" s="4" t="str">
        <f t="shared" si="23"/>
        <v>On Time</v>
      </c>
    </row>
    <row r="333" spans="1:8" x14ac:dyDescent="0.3">
      <c r="A333" s="4" t="s">
        <v>91</v>
      </c>
      <c r="B333" s="5">
        <v>46207</v>
      </c>
      <c r="C333" s="7">
        <v>0.34097222222222201</v>
      </c>
      <c r="D333" s="7">
        <v>0.69861111111111096</v>
      </c>
      <c r="E333" s="8">
        <f t="shared" si="20"/>
        <v>8.5833333333333357</v>
      </c>
      <c r="F333" s="8">
        <f t="shared" si="21"/>
        <v>0</v>
      </c>
      <c r="G333" s="8">
        <f t="shared" si="22"/>
        <v>0</v>
      </c>
      <c r="H333" s="4" t="str">
        <f t="shared" si="23"/>
        <v>On Time</v>
      </c>
    </row>
    <row r="334" spans="1:8" x14ac:dyDescent="0.3">
      <c r="A334" s="4" t="s">
        <v>91</v>
      </c>
      <c r="B334" s="5">
        <v>46208</v>
      </c>
      <c r="C334" s="7">
        <v>0.329166666666667</v>
      </c>
      <c r="D334" s="7">
        <v>0.69513888888888897</v>
      </c>
      <c r="E334" s="8">
        <f t="shared" si="20"/>
        <v>8.7833333333333279</v>
      </c>
      <c r="F334" s="8">
        <f t="shared" si="21"/>
        <v>0</v>
      </c>
      <c r="G334" s="8">
        <f t="shared" si="22"/>
        <v>0</v>
      </c>
      <c r="H334" s="4" t="str">
        <f t="shared" si="23"/>
        <v>On Time</v>
      </c>
    </row>
    <row r="335" spans="1:8" x14ac:dyDescent="0.3">
      <c r="A335" s="4" t="s">
        <v>91</v>
      </c>
      <c r="B335" s="5">
        <v>46209</v>
      </c>
      <c r="C335" s="7">
        <v>0.33958333333333302</v>
      </c>
      <c r="D335" s="7">
        <v>0.7</v>
      </c>
      <c r="E335" s="8">
        <f t="shared" si="20"/>
        <v>8.6500000000000057</v>
      </c>
      <c r="F335" s="8">
        <f t="shared" si="21"/>
        <v>0</v>
      </c>
      <c r="G335" s="8">
        <f t="shared" si="22"/>
        <v>0</v>
      </c>
      <c r="H335" s="4" t="str">
        <f t="shared" si="23"/>
        <v>On Time</v>
      </c>
    </row>
    <row r="336" spans="1:8" x14ac:dyDescent="0.3">
      <c r="A336" s="4" t="s">
        <v>91</v>
      </c>
      <c r="B336" s="5">
        <v>46210</v>
      </c>
      <c r="C336" s="7">
        <v>0.31944444444444398</v>
      </c>
      <c r="D336" s="7">
        <v>0.70416666666666705</v>
      </c>
      <c r="E336" s="8">
        <f t="shared" si="20"/>
        <v>9.2333333333333538</v>
      </c>
      <c r="F336" s="8">
        <f t="shared" si="21"/>
        <v>0</v>
      </c>
      <c r="G336" s="8">
        <f t="shared" si="22"/>
        <v>0</v>
      </c>
      <c r="H336" s="4" t="str">
        <f t="shared" si="23"/>
        <v>On Time</v>
      </c>
    </row>
    <row r="337" spans="1:8" x14ac:dyDescent="0.3">
      <c r="A337" s="4" t="s">
        <v>91</v>
      </c>
      <c r="B337" s="5">
        <v>46211</v>
      </c>
      <c r="C337" s="7">
        <v>0.343055555555556</v>
      </c>
      <c r="D337" s="7">
        <v>0.69583333333333297</v>
      </c>
      <c r="E337" s="8">
        <f t="shared" si="20"/>
        <v>8.4666666666666472</v>
      </c>
      <c r="F337" s="8">
        <f t="shared" si="21"/>
        <v>0</v>
      </c>
      <c r="G337" s="8">
        <f t="shared" si="22"/>
        <v>0</v>
      </c>
      <c r="H337" s="4" t="str">
        <f t="shared" si="23"/>
        <v>On Time</v>
      </c>
    </row>
    <row r="338" spans="1:8" x14ac:dyDescent="0.3">
      <c r="A338" s="4" t="s">
        <v>91</v>
      </c>
      <c r="B338" s="5">
        <v>46212</v>
      </c>
      <c r="C338" s="7">
        <v>0.34236111111111101</v>
      </c>
      <c r="D338" s="7">
        <v>0.70555555555555605</v>
      </c>
      <c r="E338" s="8">
        <f t="shared" si="20"/>
        <v>8.716666666666681</v>
      </c>
      <c r="F338" s="8">
        <f t="shared" si="21"/>
        <v>0</v>
      </c>
      <c r="G338" s="8">
        <f t="shared" si="22"/>
        <v>0</v>
      </c>
      <c r="H338" s="4" t="str">
        <f t="shared" si="23"/>
        <v>On Time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38"/>
  <sheetViews>
    <sheetView zoomScaleNormal="100" workbookViewId="0">
      <pane ySplit="1" topLeftCell="A2" activePane="bottomLeft" state="frozen"/>
      <selection pane="bottomLeft" activeCell="E6" sqref="E6"/>
    </sheetView>
  </sheetViews>
  <sheetFormatPr defaultColWidth="8.6640625" defaultRowHeight="14.4" x14ac:dyDescent="0.3"/>
  <cols>
    <col min="1" max="1" width="12" customWidth="1"/>
    <col min="2" max="2" width="20" customWidth="1"/>
    <col min="3" max="3" width="16" customWidth="1"/>
    <col min="4" max="4" width="13" customWidth="1"/>
    <col min="5" max="6" width="11" customWidth="1"/>
    <col min="7" max="7" width="14" customWidth="1"/>
    <col min="8" max="8" width="15" customWidth="1"/>
    <col min="9" max="9" width="11" customWidth="1"/>
    <col min="10" max="10" width="12" customWidth="1"/>
    <col min="11" max="11" width="14" customWidth="1"/>
    <col min="12" max="12" width="12" customWidth="1"/>
    <col min="13" max="13" width="13" customWidth="1"/>
    <col min="14" max="14" width="12" customWidth="1"/>
  </cols>
  <sheetData>
    <row r="1" spans="1:14" ht="41.4" x14ac:dyDescent="0.3">
      <c r="A1" s="3" t="s">
        <v>0</v>
      </c>
      <c r="B1" s="3" t="s">
        <v>1</v>
      </c>
      <c r="C1" s="3" t="s">
        <v>2</v>
      </c>
      <c r="D1" s="3" t="s">
        <v>5</v>
      </c>
      <c r="E1" s="3" t="s">
        <v>100</v>
      </c>
      <c r="F1" s="3" t="s">
        <v>101</v>
      </c>
      <c r="G1" s="3" t="s">
        <v>102</v>
      </c>
      <c r="H1" s="3" t="s">
        <v>103</v>
      </c>
      <c r="I1" s="3" t="s">
        <v>104</v>
      </c>
      <c r="J1" s="3" t="s">
        <v>105</v>
      </c>
      <c r="K1" s="3" t="s">
        <v>106</v>
      </c>
      <c r="L1" s="3" t="s">
        <v>107</v>
      </c>
      <c r="M1" s="3" t="s">
        <v>108</v>
      </c>
      <c r="N1" s="3" t="s">
        <v>109</v>
      </c>
    </row>
    <row r="2" spans="1:14" x14ac:dyDescent="0.3">
      <c r="A2" s="4" t="s">
        <v>7</v>
      </c>
      <c r="B2" s="4" t="str">
        <f>INDEX(EmployeesTable[Employee Name],MATCH(A2,EmployeesTable[Employee ID],0))</f>
        <v>Sara Fahmy</v>
      </c>
      <c r="C2" s="4" t="str">
        <f>INDEX(EmployeesTable[Department],MATCH(A2,EmployeesTable[Employee ID],0))</f>
        <v>Warehouse</v>
      </c>
      <c r="D2" s="6">
        <f>INDEX(EmployeesTable[Basic Salary],MATCH(A2,EmployeesTable[Employee ID],0))</f>
        <v>5350</v>
      </c>
      <c r="E2" s="4">
        <f>COUNTIF(AttendanceTable[Employee ID],A2)</f>
        <v>10</v>
      </c>
      <c r="F2" s="4">
        <f t="shared" ref="F2:F36" si="0">10-E2</f>
        <v>0</v>
      </c>
      <c r="G2" s="4">
        <f>SUMIF(AttendanceTable[Employee ID],A2,AttendanceTable[Late Minutes])</f>
        <v>74.999999999999488</v>
      </c>
      <c r="H2" s="8">
        <f>SUMIF(AttendanceTable[Employee ID],A2,AttendanceTable[Overtime Hours])</f>
        <v>2.4166666666666607</v>
      </c>
      <c r="I2" s="6">
        <f t="shared" ref="I2:I36" si="1">D2/26</f>
        <v>205.76923076923077</v>
      </c>
      <c r="J2" s="6">
        <f t="shared" ref="J2:J36" si="2">H2*(I2/8)*1.5</f>
        <v>93.239182692307466</v>
      </c>
      <c r="K2" s="6">
        <f t="shared" ref="K2:K36" si="3">F2*I2</f>
        <v>0</v>
      </c>
      <c r="L2" s="6">
        <f t="shared" ref="L2:L36" si="4">ROUND((G2/60)*(I2/8),2)</f>
        <v>32.15</v>
      </c>
      <c r="M2" s="6">
        <f t="shared" ref="M2:M36" si="5">K2+L2</f>
        <v>32.15</v>
      </c>
      <c r="N2" s="6">
        <f t="shared" ref="N2:N36" si="6">ROUND(D2+J2-M2,2)</f>
        <v>5411.09</v>
      </c>
    </row>
    <row r="3" spans="1:14" x14ac:dyDescent="0.3">
      <c r="A3" s="4" t="s">
        <v>12</v>
      </c>
      <c r="B3" s="4" t="str">
        <f>INDEX(EmployeesTable[Employee Name],MATCH(A3,EmployeesTable[Employee ID],0))</f>
        <v>Aya Abdel Rahman</v>
      </c>
      <c r="C3" s="4" t="str">
        <f>INDEX(EmployeesTable[Department],MATCH(A3,EmployeesTable[Employee ID],0))</f>
        <v>HR</v>
      </c>
      <c r="D3" s="6">
        <f>INDEX(EmployeesTable[Basic Salary],MATCH(A3,EmployeesTable[Employee ID],0))</f>
        <v>7300</v>
      </c>
      <c r="E3" s="4">
        <f>COUNTIF(AttendanceTable[Employee ID],A3)</f>
        <v>10</v>
      </c>
      <c r="F3" s="4">
        <f t="shared" si="0"/>
        <v>0</v>
      </c>
      <c r="G3" s="4">
        <f>SUMIF(AttendanceTable[Employee ID],A3,AttendanceTable[Late Minutes])</f>
        <v>73.000000000000782</v>
      </c>
      <c r="H3" s="8">
        <f>SUMIF(AttendanceTable[Employee ID],A3,AttendanceTable[Overtime Hours])</f>
        <v>0.58333333333333393</v>
      </c>
      <c r="I3" s="6">
        <f t="shared" si="1"/>
        <v>280.76923076923077</v>
      </c>
      <c r="J3" s="6">
        <f t="shared" si="2"/>
        <v>30.709134615384645</v>
      </c>
      <c r="K3" s="6">
        <f t="shared" si="3"/>
        <v>0</v>
      </c>
      <c r="L3" s="6">
        <f t="shared" si="4"/>
        <v>42.7</v>
      </c>
      <c r="M3" s="6">
        <f t="shared" si="5"/>
        <v>42.7</v>
      </c>
      <c r="N3" s="6">
        <f t="shared" si="6"/>
        <v>7288.01</v>
      </c>
    </row>
    <row r="4" spans="1:14" x14ac:dyDescent="0.3">
      <c r="A4" s="4" t="s">
        <v>16</v>
      </c>
      <c r="B4" s="4" t="str">
        <f>INDEX(EmployeesTable[Employee Name],MATCH(A4,EmployeesTable[Employee ID],0))</f>
        <v>Mahmoud Shalaby</v>
      </c>
      <c r="C4" s="4" t="str">
        <f>INDEX(EmployeesTable[Department],MATCH(A4,EmployeesTable[Employee ID],0))</f>
        <v>Production</v>
      </c>
      <c r="D4" s="6">
        <f>INDEX(EmployeesTable[Basic Salary],MATCH(A4,EmployeesTable[Employee ID],0))</f>
        <v>6300</v>
      </c>
      <c r="E4" s="4">
        <f>COUNTIF(AttendanceTable[Employee ID],A4)</f>
        <v>9</v>
      </c>
      <c r="F4" s="4">
        <f t="shared" si="0"/>
        <v>1</v>
      </c>
      <c r="G4" s="4">
        <f>SUMIF(AttendanceTable[Employee ID],A4,AttendanceTable[Late Minutes])</f>
        <v>60.999999999999865</v>
      </c>
      <c r="H4" s="8">
        <f>SUMIF(AttendanceTable[Employee ID],A4,AttendanceTable[Overtime Hours])</f>
        <v>2.4666666666666686</v>
      </c>
      <c r="I4" s="6">
        <f t="shared" si="1"/>
        <v>242.30769230769232</v>
      </c>
      <c r="J4" s="6">
        <f t="shared" si="2"/>
        <v>112.06730769230779</v>
      </c>
      <c r="K4" s="6">
        <f t="shared" si="3"/>
        <v>242.30769230769232</v>
      </c>
      <c r="L4" s="6">
        <f t="shared" si="4"/>
        <v>30.79</v>
      </c>
      <c r="M4" s="6">
        <f t="shared" si="5"/>
        <v>273.09769230769234</v>
      </c>
      <c r="N4" s="6">
        <f t="shared" si="6"/>
        <v>6138.97</v>
      </c>
    </row>
    <row r="5" spans="1:14" x14ac:dyDescent="0.3">
      <c r="A5" s="4" t="s">
        <v>20</v>
      </c>
      <c r="B5" s="4" t="str">
        <f>INDEX(EmployeesTable[Employee Name],MATCH(A5,EmployeesTable[Employee ID],0))</f>
        <v>Ali Shalaby</v>
      </c>
      <c r="C5" s="4" t="str">
        <f>INDEX(EmployeesTable[Department],MATCH(A5,EmployeesTable[Employee ID],0))</f>
        <v>Finance</v>
      </c>
      <c r="D5" s="6">
        <f>INDEX(EmployeesTable[Basic Salary],MATCH(A5,EmployeesTable[Employee ID],0))</f>
        <v>6600</v>
      </c>
      <c r="E5" s="4">
        <f>COUNTIF(AttendanceTable[Employee ID],A5)</f>
        <v>10</v>
      </c>
      <c r="F5" s="4">
        <f t="shared" si="0"/>
        <v>0</v>
      </c>
      <c r="G5" s="4">
        <f>SUMIF(AttendanceTable[Employee ID],A5,AttendanceTable[Late Minutes])</f>
        <v>48.000000000000952</v>
      </c>
      <c r="H5" s="8">
        <f>SUMIF(AttendanceTable[Employee ID],A5,AttendanceTable[Overtime Hours])</f>
        <v>1.8166666666666709</v>
      </c>
      <c r="I5" s="6">
        <f t="shared" si="1"/>
        <v>253.84615384615384</v>
      </c>
      <c r="J5" s="6">
        <f t="shared" si="2"/>
        <v>86.466346153846359</v>
      </c>
      <c r="K5" s="6">
        <f t="shared" si="3"/>
        <v>0</v>
      </c>
      <c r="L5" s="6">
        <f t="shared" si="4"/>
        <v>25.38</v>
      </c>
      <c r="M5" s="6">
        <f t="shared" si="5"/>
        <v>25.38</v>
      </c>
      <c r="N5" s="6">
        <f t="shared" si="6"/>
        <v>6661.09</v>
      </c>
    </row>
    <row r="6" spans="1:14" x14ac:dyDescent="0.3">
      <c r="A6" s="4" t="s">
        <v>24</v>
      </c>
      <c r="B6" s="4" t="str">
        <f>INDEX(EmployeesTable[Employee Name],MATCH(A6,EmployeesTable[Employee ID],0))</f>
        <v>Salma Fahmy</v>
      </c>
      <c r="C6" s="4" t="str">
        <f>INDEX(EmployeesTable[Department],MATCH(A6,EmployeesTable[Employee ID],0))</f>
        <v>Quality Control</v>
      </c>
      <c r="D6" s="6">
        <f>INDEX(EmployeesTable[Basic Salary],MATCH(A6,EmployeesTable[Employee ID],0))</f>
        <v>7300</v>
      </c>
      <c r="E6" s="4">
        <f>COUNTIF(AttendanceTable[Employee ID],A6)</f>
        <v>10</v>
      </c>
      <c r="F6" s="4">
        <f t="shared" si="0"/>
        <v>0</v>
      </c>
      <c r="G6" s="4">
        <f>SUMIF(AttendanceTable[Employee ID],A6,AttendanceTable[Late Minutes])</f>
        <v>71.999999999999986</v>
      </c>
      <c r="H6" s="8">
        <f>SUMIF(AttendanceTable[Employee ID],A6,AttendanceTable[Overtime Hours])</f>
        <v>3.3166666666666922</v>
      </c>
      <c r="I6" s="6">
        <f t="shared" si="1"/>
        <v>280.76923076923077</v>
      </c>
      <c r="J6" s="6">
        <f t="shared" si="2"/>
        <v>174.60336538461672</v>
      </c>
      <c r="K6" s="6">
        <f t="shared" si="3"/>
        <v>0</v>
      </c>
      <c r="L6" s="6">
        <f t="shared" si="4"/>
        <v>42.12</v>
      </c>
      <c r="M6" s="6">
        <f t="shared" si="5"/>
        <v>42.12</v>
      </c>
      <c r="N6" s="6">
        <f t="shared" si="6"/>
        <v>7432.48</v>
      </c>
    </row>
    <row r="7" spans="1:14" x14ac:dyDescent="0.3">
      <c r="A7" s="4" t="s">
        <v>28</v>
      </c>
      <c r="B7" s="4" t="str">
        <f>INDEX(EmployeesTable[Employee Name],MATCH(A7,EmployeesTable[Employee ID],0))</f>
        <v>Hassan Ibrahim</v>
      </c>
      <c r="C7" s="4" t="str">
        <f>INDEX(EmployeesTable[Department],MATCH(A7,EmployeesTable[Employee ID],0))</f>
        <v>Production</v>
      </c>
      <c r="D7" s="6">
        <f>INDEX(EmployeesTable[Basic Salary],MATCH(A7,EmployeesTable[Employee ID],0))</f>
        <v>6250</v>
      </c>
      <c r="E7" s="4">
        <f>COUNTIF(AttendanceTable[Employee ID],A7)</f>
        <v>10</v>
      </c>
      <c r="F7" s="4">
        <f t="shared" si="0"/>
        <v>0</v>
      </c>
      <c r="G7" s="4">
        <f>SUMIF(AttendanceTable[Employee ID],A7,AttendanceTable[Late Minutes])</f>
        <v>143.0000000000006</v>
      </c>
      <c r="H7" s="8">
        <f>SUMIF(AttendanceTable[Employee ID],A7,AttendanceTable[Overtime Hours])</f>
        <v>2.4500000000000126</v>
      </c>
      <c r="I7" s="6">
        <f t="shared" si="1"/>
        <v>240.38461538461539</v>
      </c>
      <c r="J7" s="6">
        <f t="shared" si="2"/>
        <v>110.42668269230825</v>
      </c>
      <c r="K7" s="6">
        <f t="shared" si="3"/>
        <v>0</v>
      </c>
      <c r="L7" s="6">
        <f t="shared" si="4"/>
        <v>71.61</v>
      </c>
      <c r="M7" s="6">
        <f t="shared" si="5"/>
        <v>71.61</v>
      </c>
      <c r="N7" s="6">
        <f t="shared" si="6"/>
        <v>6288.82</v>
      </c>
    </row>
    <row r="8" spans="1:14" x14ac:dyDescent="0.3">
      <c r="A8" s="4" t="s">
        <v>30</v>
      </c>
      <c r="B8" s="4" t="str">
        <f>INDEX(EmployeesTable[Employee Name],MATCH(A8,EmployeesTable[Employee ID],0))</f>
        <v>Sherif Hassan</v>
      </c>
      <c r="C8" s="4" t="str">
        <f>INDEX(EmployeesTable[Department],MATCH(A8,EmployeesTable[Employee ID],0))</f>
        <v>HR</v>
      </c>
      <c r="D8" s="6">
        <f>INDEX(EmployeesTable[Basic Salary],MATCH(A8,EmployeesTable[Employee ID],0))</f>
        <v>7700</v>
      </c>
      <c r="E8" s="4">
        <f>COUNTIF(AttendanceTable[Employee ID],A8)</f>
        <v>9</v>
      </c>
      <c r="F8" s="4">
        <f t="shared" si="0"/>
        <v>1</v>
      </c>
      <c r="G8" s="4">
        <f>SUMIF(AttendanceTable[Employee ID],A8,AttendanceTable[Late Minutes])</f>
        <v>71.000000000000625</v>
      </c>
      <c r="H8" s="8">
        <f>SUMIF(AttendanceTable[Employee ID],A8,AttendanceTable[Overtime Hours])</f>
        <v>0.29999999999999094</v>
      </c>
      <c r="I8" s="6">
        <f t="shared" si="1"/>
        <v>296.15384615384613</v>
      </c>
      <c r="J8" s="6">
        <f t="shared" si="2"/>
        <v>16.658653846153342</v>
      </c>
      <c r="K8" s="6">
        <f t="shared" si="3"/>
        <v>296.15384615384613</v>
      </c>
      <c r="L8" s="6">
        <f t="shared" si="4"/>
        <v>43.81</v>
      </c>
      <c r="M8" s="6">
        <f t="shared" si="5"/>
        <v>339.96384615384613</v>
      </c>
      <c r="N8" s="6">
        <f t="shared" si="6"/>
        <v>7376.69</v>
      </c>
    </row>
    <row r="9" spans="1:14" x14ac:dyDescent="0.3">
      <c r="A9" s="4" t="s">
        <v>32</v>
      </c>
      <c r="B9" s="4" t="str">
        <f>INDEX(EmployeesTable[Employee Name],MATCH(A9,EmployeesTable[Employee ID],0))</f>
        <v>Heba Abdallah</v>
      </c>
      <c r="C9" s="4" t="str">
        <f>INDEX(EmployeesTable[Department],MATCH(A9,EmployeesTable[Employee ID],0))</f>
        <v>Warehouse</v>
      </c>
      <c r="D9" s="6">
        <f>INDEX(EmployeesTable[Basic Salary],MATCH(A9,EmployeesTable[Employee ID],0))</f>
        <v>4750</v>
      </c>
      <c r="E9" s="4">
        <f>COUNTIF(AttendanceTable[Employee ID],A9)</f>
        <v>9</v>
      </c>
      <c r="F9" s="4">
        <f t="shared" si="0"/>
        <v>1</v>
      </c>
      <c r="G9" s="4">
        <f>SUMIF(AttendanceTable[Employee ID],A9,AttendanceTable[Late Minutes])</f>
        <v>36.000000000000028</v>
      </c>
      <c r="H9" s="8">
        <f>SUMIF(AttendanceTable[Employee ID],A9,AttendanceTable[Overtime Hours])</f>
        <v>4.8333333333333321</v>
      </c>
      <c r="I9" s="6">
        <f t="shared" si="1"/>
        <v>182.69230769230768</v>
      </c>
      <c r="J9" s="6">
        <f t="shared" si="2"/>
        <v>165.56490384615378</v>
      </c>
      <c r="K9" s="6">
        <f t="shared" si="3"/>
        <v>182.69230769230768</v>
      </c>
      <c r="L9" s="6">
        <f t="shared" si="4"/>
        <v>13.7</v>
      </c>
      <c r="M9" s="6">
        <f t="shared" si="5"/>
        <v>196.39230769230767</v>
      </c>
      <c r="N9" s="6">
        <f t="shared" si="6"/>
        <v>4719.17</v>
      </c>
    </row>
    <row r="10" spans="1:14" x14ac:dyDescent="0.3">
      <c r="A10" s="4" t="s">
        <v>35</v>
      </c>
      <c r="B10" s="4" t="str">
        <f>INDEX(EmployeesTable[Employee Name],MATCH(A10,EmployeesTable[Employee ID],0))</f>
        <v>Sherif Shalaby</v>
      </c>
      <c r="C10" s="4" t="str">
        <f>INDEX(EmployeesTable[Department],MATCH(A10,EmployeesTable[Employee ID],0))</f>
        <v>Production</v>
      </c>
      <c r="D10" s="6">
        <f>INDEX(EmployeesTable[Basic Salary],MATCH(A10,EmployeesTable[Employee ID],0))</f>
        <v>5550</v>
      </c>
      <c r="E10" s="4">
        <f>COUNTIF(AttendanceTable[Employee ID],A10)</f>
        <v>10</v>
      </c>
      <c r="F10" s="4">
        <f t="shared" si="0"/>
        <v>0</v>
      </c>
      <c r="G10" s="4">
        <f>SUMIF(AttendanceTable[Employee ID],A10,AttendanceTable[Late Minutes])</f>
        <v>150.00000000000193</v>
      </c>
      <c r="H10" s="8">
        <f>SUMIF(AttendanceTable[Employee ID],A10,AttendanceTable[Overtime Hours])</f>
        <v>3.1166666666666369</v>
      </c>
      <c r="I10" s="6">
        <f t="shared" si="1"/>
        <v>213.46153846153845</v>
      </c>
      <c r="J10" s="6">
        <f t="shared" si="2"/>
        <v>124.74158653846035</v>
      </c>
      <c r="K10" s="6">
        <f t="shared" si="3"/>
        <v>0</v>
      </c>
      <c r="L10" s="6">
        <f t="shared" si="4"/>
        <v>66.709999999999994</v>
      </c>
      <c r="M10" s="6">
        <f t="shared" si="5"/>
        <v>66.709999999999994</v>
      </c>
      <c r="N10" s="6">
        <f t="shared" si="6"/>
        <v>5608.03</v>
      </c>
    </row>
    <row r="11" spans="1:14" x14ac:dyDescent="0.3">
      <c r="A11" s="4" t="s">
        <v>37</v>
      </c>
      <c r="B11" s="4" t="str">
        <f>INDEX(EmployeesTable[Employee Name],MATCH(A11,EmployeesTable[Employee ID],0))</f>
        <v>Walid El-Naggar</v>
      </c>
      <c r="C11" s="4" t="str">
        <f>INDEX(EmployeesTable[Department],MATCH(A11,EmployeesTable[Employee ID],0))</f>
        <v>Quality Control</v>
      </c>
      <c r="D11" s="6">
        <f>INDEX(EmployeesTable[Basic Salary],MATCH(A11,EmployeesTable[Employee ID],0))</f>
        <v>6000</v>
      </c>
      <c r="E11" s="4">
        <f>COUNTIF(AttendanceTable[Employee ID],A11)</f>
        <v>10</v>
      </c>
      <c r="F11" s="4">
        <f t="shared" si="0"/>
        <v>0</v>
      </c>
      <c r="G11" s="4">
        <f>SUMIF(AttendanceTable[Employee ID],A11,AttendanceTable[Late Minutes])</f>
        <v>37.000000000000824</v>
      </c>
      <c r="H11" s="8">
        <f>SUMIF(AttendanceTable[Employee ID],A11,AttendanceTable[Overtime Hours])</f>
        <v>3.1499999999999861</v>
      </c>
      <c r="I11" s="6">
        <f t="shared" si="1"/>
        <v>230.76923076923077</v>
      </c>
      <c r="J11" s="6">
        <f t="shared" si="2"/>
        <v>136.29807692307634</v>
      </c>
      <c r="K11" s="6">
        <f t="shared" si="3"/>
        <v>0</v>
      </c>
      <c r="L11" s="6">
        <f t="shared" si="4"/>
        <v>17.79</v>
      </c>
      <c r="M11" s="6">
        <f t="shared" si="5"/>
        <v>17.79</v>
      </c>
      <c r="N11" s="6">
        <f t="shared" si="6"/>
        <v>6118.51</v>
      </c>
    </row>
    <row r="12" spans="1:14" x14ac:dyDescent="0.3">
      <c r="A12" s="4" t="s">
        <v>40</v>
      </c>
      <c r="B12" s="4" t="str">
        <f>INDEX(EmployeesTable[Employee Name],MATCH(A12,EmployeesTable[Employee ID],0))</f>
        <v>Hany Abdallah</v>
      </c>
      <c r="C12" s="4" t="str">
        <f>INDEX(EmployeesTable[Department],MATCH(A12,EmployeesTable[Employee ID],0))</f>
        <v>Maintenance</v>
      </c>
      <c r="D12" s="6">
        <f>INDEX(EmployeesTable[Basic Salary],MATCH(A12,EmployeesTable[Employee ID],0))</f>
        <v>5200</v>
      </c>
      <c r="E12" s="4">
        <f>COUNTIF(AttendanceTable[Employee ID],A12)</f>
        <v>8</v>
      </c>
      <c r="F12" s="4">
        <f t="shared" si="0"/>
        <v>2</v>
      </c>
      <c r="G12" s="4">
        <f>SUMIF(AttendanceTable[Employee ID],A12,AttendanceTable[Late Minutes])</f>
        <v>143.00000000000063</v>
      </c>
      <c r="H12" s="8">
        <f>SUMIF(AttendanceTable[Employee ID],A12,AttendanceTable[Overtime Hours])</f>
        <v>3.0666666666666451</v>
      </c>
      <c r="I12" s="6">
        <f t="shared" si="1"/>
        <v>200</v>
      </c>
      <c r="J12" s="6">
        <f t="shared" si="2"/>
        <v>114.9999999999992</v>
      </c>
      <c r="K12" s="6">
        <f t="shared" si="3"/>
        <v>400</v>
      </c>
      <c r="L12" s="6">
        <f t="shared" si="4"/>
        <v>59.58</v>
      </c>
      <c r="M12" s="6">
        <f t="shared" si="5"/>
        <v>459.58</v>
      </c>
      <c r="N12" s="6">
        <f t="shared" si="6"/>
        <v>4855.42</v>
      </c>
    </row>
    <row r="13" spans="1:14" x14ac:dyDescent="0.3">
      <c r="A13" s="4" t="s">
        <v>44</v>
      </c>
      <c r="B13" s="4" t="str">
        <f>INDEX(EmployeesTable[Employee Name],MATCH(A13,EmployeesTable[Employee ID],0))</f>
        <v>Hany Abdallah</v>
      </c>
      <c r="C13" s="4" t="str">
        <f>INDEX(EmployeesTable[Department],MATCH(A13,EmployeesTable[Employee ID],0))</f>
        <v>Quality Control</v>
      </c>
      <c r="D13" s="6">
        <f>INDEX(EmployeesTable[Basic Salary],MATCH(A13,EmployeesTable[Employee ID],0))</f>
        <v>6950</v>
      </c>
      <c r="E13" s="4">
        <f>COUNTIF(AttendanceTable[Employee ID],A13)</f>
        <v>10</v>
      </c>
      <c r="F13" s="4">
        <f t="shared" si="0"/>
        <v>0</v>
      </c>
      <c r="G13" s="4">
        <f>SUMIF(AttendanceTable[Employee ID],A13,AttendanceTable[Late Minutes])</f>
        <v>36.000000000000028</v>
      </c>
      <c r="H13" s="8">
        <f>SUMIF(AttendanceTable[Employee ID],A13,AttendanceTable[Overtime Hours])</f>
        <v>2.733333333333313</v>
      </c>
      <c r="I13" s="6">
        <f t="shared" si="1"/>
        <v>267.30769230769232</v>
      </c>
      <c r="J13" s="6">
        <f t="shared" si="2"/>
        <v>136.9951923076913</v>
      </c>
      <c r="K13" s="6">
        <f t="shared" si="3"/>
        <v>0</v>
      </c>
      <c r="L13" s="6">
        <f t="shared" si="4"/>
        <v>20.05</v>
      </c>
      <c r="M13" s="6">
        <f t="shared" si="5"/>
        <v>20.05</v>
      </c>
      <c r="N13" s="6">
        <f t="shared" si="6"/>
        <v>7066.95</v>
      </c>
    </row>
    <row r="14" spans="1:14" x14ac:dyDescent="0.3">
      <c r="A14" s="4" t="s">
        <v>45</v>
      </c>
      <c r="B14" s="4" t="str">
        <f>INDEX(EmployeesTable[Employee Name],MATCH(A14,EmployeesTable[Employee ID],0))</f>
        <v>Mahmoud Hassan</v>
      </c>
      <c r="C14" s="4" t="str">
        <f>INDEX(EmployeesTable[Department],MATCH(A14,EmployeesTable[Employee ID],0))</f>
        <v>Quality Control</v>
      </c>
      <c r="D14" s="6">
        <f>INDEX(EmployeesTable[Basic Salary],MATCH(A14,EmployeesTable[Employee ID],0))</f>
        <v>7700</v>
      </c>
      <c r="E14" s="4">
        <f>COUNTIF(AttendanceTable[Employee ID],A14)</f>
        <v>10</v>
      </c>
      <c r="F14" s="4">
        <f t="shared" si="0"/>
        <v>0</v>
      </c>
      <c r="G14" s="4">
        <f>SUMIF(AttendanceTable[Employee ID],A14,AttendanceTable[Late Minutes])</f>
        <v>31.000000000000291</v>
      </c>
      <c r="H14" s="8">
        <f>SUMIF(AttendanceTable[Employee ID],A14,AttendanceTable[Overtime Hours])</f>
        <v>2.0833333333333259</v>
      </c>
      <c r="I14" s="6">
        <f t="shared" si="1"/>
        <v>296.15384615384613</v>
      </c>
      <c r="J14" s="6">
        <f t="shared" si="2"/>
        <v>115.68509615384573</v>
      </c>
      <c r="K14" s="6">
        <f t="shared" si="3"/>
        <v>0</v>
      </c>
      <c r="L14" s="6">
        <f t="shared" si="4"/>
        <v>19.13</v>
      </c>
      <c r="M14" s="6">
        <f t="shared" si="5"/>
        <v>19.13</v>
      </c>
      <c r="N14" s="6">
        <f t="shared" si="6"/>
        <v>7796.56</v>
      </c>
    </row>
    <row r="15" spans="1:14" x14ac:dyDescent="0.3">
      <c r="A15" s="4" t="s">
        <v>47</v>
      </c>
      <c r="B15" s="4" t="str">
        <f>INDEX(EmployeesTable[Employee Name],MATCH(A15,EmployeesTable[Employee ID],0))</f>
        <v>Hassan El-Naggar</v>
      </c>
      <c r="C15" s="4" t="str">
        <f>INDEX(EmployeesTable[Department],MATCH(A15,EmployeesTable[Employee ID],0))</f>
        <v>Quality Control</v>
      </c>
      <c r="D15" s="6">
        <f>INDEX(EmployeesTable[Basic Salary],MATCH(A15,EmployeesTable[Employee ID],0))</f>
        <v>6600</v>
      </c>
      <c r="E15" s="4">
        <f>COUNTIF(AttendanceTable[Employee ID],A15)</f>
        <v>10</v>
      </c>
      <c r="F15" s="4">
        <f t="shared" si="0"/>
        <v>0</v>
      </c>
      <c r="G15" s="4">
        <f>SUMIF(AttendanceTable[Employee ID],A15,AttendanceTable[Late Minutes])</f>
        <v>101.99999999999947</v>
      </c>
      <c r="H15" s="8">
        <f>SUMIF(AttendanceTable[Employee ID],A15,AttendanceTable[Overtime Hours])</f>
        <v>4.0666666666666522</v>
      </c>
      <c r="I15" s="6">
        <f t="shared" si="1"/>
        <v>253.84615384615384</v>
      </c>
      <c r="J15" s="6">
        <f t="shared" si="2"/>
        <v>193.55769230769158</v>
      </c>
      <c r="K15" s="6">
        <f t="shared" si="3"/>
        <v>0</v>
      </c>
      <c r="L15" s="6">
        <f t="shared" si="4"/>
        <v>53.94</v>
      </c>
      <c r="M15" s="6">
        <f t="shared" si="5"/>
        <v>53.94</v>
      </c>
      <c r="N15" s="6">
        <f t="shared" si="6"/>
        <v>6739.62</v>
      </c>
    </row>
    <row r="16" spans="1:14" x14ac:dyDescent="0.3">
      <c r="A16" s="4" t="s">
        <v>49</v>
      </c>
      <c r="B16" s="4" t="str">
        <f>INDEX(EmployeesTable[Employee Name],MATCH(A16,EmployeesTable[Employee ID],0))</f>
        <v>Youssef Mahmoud</v>
      </c>
      <c r="C16" s="4" t="str">
        <f>INDEX(EmployeesTable[Department],MATCH(A16,EmployeesTable[Employee ID],0))</f>
        <v>Warehouse</v>
      </c>
      <c r="D16" s="6">
        <f>INDEX(EmployeesTable[Basic Salary],MATCH(A16,EmployeesTable[Employee ID],0))</f>
        <v>4950</v>
      </c>
      <c r="E16" s="4">
        <f>COUNTIF(AttendanceTable[Employee ID],A16)</f>
        <v>10</v>
      </c>
      <c r="F16" s="4">
        <f t="shared" si="0"/>
        <v>0</v>
      </c>
      <c r="G16" s="4">
        <f>SUMIF(AttendanceTable[Employee ID],A16,AttendanceTable[Late Minutes])</f>
        <v>0</v>
      </c>
      <c r="H16" s="8">
        <f>SUMIF(AttendanceTable[Employee ID],A16,AttendanceTable[Overtime Hours])</f>
        <v>1.6499999999999968</v>
      </c>
      <c r="I16" s="6">
        <f t="shared" si="1"/>
        <v>190.38461538461539</v>
      </c>
      <c r="J16" s="6">
        <f t="shared" si="2"/>
        <v>58.900240384615273</v>
      </c>
      <c r="K16" s="6">
        <f t="shared" si="3"/>
        <v>0</v>
      </c>
      <c r="L16" s="6">
        <f t="shared" si="4"/>
        <v>0</v>
      </c>
      <c r="M16" s="6">
        <f t="shared" si="5"/>
        <v>0</v>
      </c>
      <c r="N16" s="6">
        <f t="shared" si="6"/>
        <v>5008.8999999999996</v>
      </c>
    </row>
    <row r="17" spans="1:14" x14ac:dyDescent="0.3">
      <c r="A17" s="4" t="s">
        <v>51</v>
      </c>
      <c r="B17" s="4" t="str">
        <f>INDEX(EmployeesTable[Employee Name],MATCH(A17,EmployeesTable[Employee ID],0))</f>
        <v>Nour Zaki</v>
      </c>
      <c r="C17" s="4" t="str">
        <f>INDEX(EmployeesTable[Department],MATCH(A17,EmployeesTable[Employee ID],0))</f>
        <v>Warehouse</v>
      </c>
      <c r="D17" s="6">
        <f>INDEX(EmployeesTable[Basic Salary],MATCH(A17,EmployeesTable[Employee ID],0))</f>
        <v>5950</v>
      </c>
      <c r="E17" s="4">
        <f>COUNTIF(AttendanceTable[Employee ID],A17)</f>
        <v>10</v>
      </c>
      <c r="F17" s="4">
        <f t="shared" si="0"/>
        <v>0</v>
      </c>
      <c r="G17" s="4">
        <f>SUMIF(AttendanceTable[Employee ID],A17,AttendanceTable[Late Minutes])</f>
        <v>80.999999999999943</v>
      </c>
      <c r="H17" s="8">
        <f>SUMIF(AttendanceTable[Employee ID],A17,AttendanceTable[Overtime Hours])</f>
        <v>2.6499999999999959</v>
      </c>
      <c r="I17" s="6">
        <f t="shared" si="1"/>
        <v>228.84615384615384</v>
      </c>
      <c r="J17" s="6">
        <f t="shared" si="2"/>
        <v>113.70793269230751</v>
      </c>
      <c r="K17" s="6">
        <f t="shared" si="3"/>
        <v>0</v>
      </c>
      <c r="L17" s="6">
        <f t="shared" si="4"/>
        <v>38.619999999999997</v>
      </c>
      <c r="M17" s="6">
        <f t="shared" si="5"/>
        <v>38.619999999999997</v>
      </c>
      <c r="N17" s="6">
        <f t="shared" si="6"/>
        <v>6025.09</v>
      </c>
    </row>
    <row r="18" spans="1:14" x14ac:dyDescent="0.3">
      <c r="A18" s="4" t="s">
        <v>53</v>
      </c>
      <c r="B18" s="4" t="str">
        <f>INDEX(EmployeesTable[Employee Name],MATCH(A18,EmployeesTable[Employee ID],0))</f>
        <v>Tarek Fahmy</v>
      </c>
      <c r="C18" s="4" t="str">
        <f>INDEX(EmployeesTable[Department],MATCH(A18,EmployeesTable[Employee ID],0))</f>
        <v>Warehouse</v>
      </c>
      <c r="D18" s="6">
        <f>INDEX(EmployeesTable[Basic Salary],MATCH(A18,EmployeesTable[Employee ID],0))</f>
        <v>5400</v>
      </c>
      <c r="E18" s="4">
        <f>COUNTIF(AttendanceTable[Employee ID],A18)</f>
        <v>9</v>
      </c>
      <c r="F18" s="4">
        <f t="shared" si="0"/>
        <v>1</v>
      </c>
      <c r="G18" s="4">
        <f>SUMIF(AttendanceTable[Employee ID],A18,AttendanceTable[Late Minutes])</f>
        <v>9.999999999999325</v>
      </c>
      <c r="H18" s="8">
        <f>SUMIF(AttendanceTable[Employee ID],A18,AttendanceTable[Overtime Hours])</f>
        <v>2.2833333333333252</v>
      </c>
      <c r="I18" s="6">
        <f t="shared" si="1"/>
        <v>207.69230769230768</v>
      </c>
      <c r="J18" s="6">
        <f t="shared" si="2"/>
        <v>88.918269230768914</v>
      </c>
      <c r="K18" s="6">
        <f t="shared" si="3"/>
        <v>207.69230769230768</v>
      </c>
      <c r="L18" s="6">
        <f t="shared" si="4"/>
        <v>4.33</v>
      </c>
      <c r="M18" s="6">
        <f t="shared" si="5"/>
        <v>212.02230769230769</v>
      </c>
      <c r="N18" s="6">
        <f t="shared" si="6"/>
        <v>5276.9</v>
      </c>
    </row>
    <row r="19" spans="1:14" x14ac:dyDescent="0.3">
      <c r="A19" s="4" t="s">
        <v>55</v>
      </c>
      <c r="B19" s="4" t="str">
        <f>INDEX(EmployeesTable[Employee Name],MATCH(A19,EmployeesTable[Employee ID],0))</f>
        <v>Karim Fahmy</v>
      </c>
      <c r="C19" s="4" t="str">
        <f>INDEX(EmployeesTable[Department],MATCH(A19,EmployeesTable[Employee ID],0))</f>
        <v>Production</v>
      </c>
      <c r="D19" s="6">
        <f>INDEX(EmployeesTable[Basic Salary],MATCH(A19,EmployeesTable[Employee ID],0))</f>
        <v>5200</v>
      </c>
      <c r="E19" s="4">
        <f>COUNTIF(AttendanceTable[Employee ID],A19)</f>
        <v>10</v>
      </c>
      <c r="F19" s="4">
        <f t="shared" si="0"/>
        <v>0</v>
      </c>
      <c r="G19" s="4">
        <f>SUMIF(AttendanceTable[Employee ID],A19,AttendanceTable[Late Minutes])</f>
        <v>42.999999999999844</v>
      </c>
      <c r="H19" s="8">
        <f>SUMIF(AttendanceTable[Employee ID],A19,AttendanceTable[Overtime Hours])</f>
        <v>1.6999999999999966</v>
      </c>
      <c r="I19" s="6">
        <f t="shared" si="1"/>
        <v>200</v>
      </c>
      <c r="J19" s="6">
        <f t="shared" si="2"/>
        <v>63.749999999999872</v>
      </c>
      <c r="K19" s="6">
        <f t="shared" si="3"/>
        <v>0</v>
      </c>
      <c r="L19" s="6">
        <f t="shared" si="4"/>
        <v>17.920000000000002</v>
      </c>
      <c r="M19" s="6">
        <f t="shared" si="5"/>
        <v>17.920000000000002</v>
      </c>
      <c r="N19" s="6">
        <f t="shared" si="6"/>
        <v>5245.83</v>
      </c>
    </row>
    <row r="20" spans="1:14" x14ac:dyDescent="0.3">
      <c r="A20" s="4" t="s">
        <v>58</v>
      </c>
      <c r="B20" s="4" t="str">
        <f>INDEX(EmployeesTable[Employee Name],MATCH(A20,EmployeesTable[Employee ID],0))</f>
        <v>Ahmed Sabry</v>
      </c>
      <c r="C20" s="4" t="str">
        <f>INDEX(EmployeesTable[Department],MATCH(A20,EmployeesTable[Employee ID],0))</f>
        <v>HR</v>
      </c>
      <c r="D20" s="6">
        <f>INDEX(EmployeesTable[Basic Salary],MATCH(A20,EmployeesTable[Employee ID],0))</f>
        <v>6450</v>
      </c>
      <c r="E20" s="4">
        <f>COUNTIF(AttendanceTable[Employee ID],A20)</f>
        <v>10</v>
      </c>
      <c r="F20" s="4">
        <f t="shared" si="0"/>
        <v>0</v>
      </c>
      <c r="G20" s="4">
        <f>SUMIF(AttendanceTable[Employee ID],A20,AttendanceTable[Late Minutes])</f>
        <v>168.00000000000188</v>
      </c>
      <c r="H20" s="8">
        <f>SUMIF(AttendanceTable[Employee ID],A20,AttendanceTable[Overtime Hours])</f>
        <v>2.2833333333333332</v>
      </c>
      <c r="I20" s="6">
        <f t="shared" si="1"/>
        <v>248.07692307692307</v>
      </c>
      <c r="J20" s="6">
        <f t="shared" si="2"/>
        <v>106.20793269230768</v>
      </c>
      <c r="K20" s="6">
        <f t="shared" si="3"/>
        <v>0</v>
      </c>
      <c r="L20" s="6">
        <f t="shared" si="4"/>
        <v>86.83</v>
      </c>
      <c r="M20" s="6">
        <f t="shared" si="5"/>
        <v>86.83</v>
      </c>
      <c r="N20" s="6">
        <f t="shared" si="6"/>
        <v>6469.38</v>
      </c>
    </row>
    <row r="21" spans="1:14" x14ac:dyDescent="0.3">
      <c r="A21" s="4" t="s">
        <v>60</v>
      </c>
      <c r="B21" s="4" t="str">
        <f>INDEX(EmployeesTable[Employee Name],MATCH(A21,EmployeesTable[Employee ID],0))</f>
        <v>Heba Farouk</v>
      </c>
      <c r="C21" s="4" t="str">
        <f>INDEX(EmployeesTable[Department],MATCH(A21,EmployeesTable[Employee ID],0))</f>
        <v>HR</v>
      </c>
      <c r="D21" s="6">
        <f>INDEX(EmployeesTable[Basic Salary],MATCH(A21,EmployeesTable[Employee ID],0))</f>
        <v>7600</v>
      </c>
      <c r="E21" s="4">
        <f>COUNTIF(AttendanceTable[Employee ID],A21)</f>
        <v>10</v>
      </c>
      <c r="F21" s="4">
        <f t="shared" si="0"/>
        <v>0</v>
      </c>
      <c r="G21" s="4">
        <f>SUMIF(AttendanceTable[Employee ID],A21,AttendanceTable[Late Minutes])</f>
        <v>58.999999999999709</v>
      </c>
      <c r="H21" s="8">
        <f>SUMIF(AttendanceTable[Employee ID],A21,AttendanceTable[Overtime Hours])</f>
        <v>1.1166666666666627</v>
      </c>
      <c r="I21" s="6">
        <f t="shared" si="1"/>
        <v>292.30769230769232</v>
      </c>
      <c r="J21" s="6">
        <f t="shared" si="2"/>
        <v>61.201923076922867</v>
      </c>
      <c r="K21" s="6">
        <f t="shared" si="3"/>
        <v>0</v>
      </c>
      <c r="L21" s="6">
        <f t="shared" si="4"/>
        <v>35.93</v>
      </c>
      <c r="M21" s="6">
        <f t="shared" si="5"/>
        <v>35.93</v>
      </c>
      <c r="N21" s="6">
        <f t="shared" si="6"/>
        <v>7625.27</v>
      </c>
    </row>
    <row r="22" spans="1:14" x14ac:dyDescent="0.3">
      <c r="A22" s="4" t="s">
        <v>63</v>
      </c>
      <c r="B22" s="4" t="str">
        <f>INDEX(EmployeesTable[Employee Name],MATCH(A22,EmployeesTable[Employee ID],0))</f>
        <v>Marwa Abdel Rahman</v>
      </c>
      <c r="C22" s="4" t="str">
        <f>INDEX(EmployeesTable[Department],MATCH(A22,EmployeesTable[Employee ID],0))</f>
        <v>Warehouse</v>
      </c>
      <c r="D22" s="6">
        <f>INDEX(EmployeesTable[Basic Salary],MATCH(A22,EmployeesTable[Employee ID],0))</f>
        <v>4500</v>
      </c>
      <c r="E22" s="4">
        <f>COUNTIF(AttendanceTable[Employee ID],A22)</f>
        <v>10</v>
      </c>
      <c r="F22" s="4">
        <f t="shared" si="0"/>
        <v>0</v>
      </c>
      <c r="G22" s="4">
        <f>SUMIF(AttendanceTable[Employee ID],A22,AttendanceTable[Late Minutes])</f>
        <v>74.999999999999488</v>
      </c>
      <c r="H22" s="8">
        <f>SUMIF(AttendanceTable[Employee ID],A22,AttendanceTable[Overtime Hours])</f>
        <v>4.9833333333333236</v>
      </c>
      <c r="I22" s="6">
        <f t="shared" si="1"/>
        <v>173.07692307692307</v>
      </c>
      <c r="J22" s="6">
        <f t="shared" si="2"/>
        <v>161.71874999999969</v>
      </c>
      <c r="K22" s="6">
        <f t="shared" si="3"/>
        <v>0</v>
      </c>
      <c r="L22" s="6">
        <f t="shared" si="4"/>
        <v>27.04</v>
      </c>
      <c r="M22" s="6">
        <f t="shared" si="5"/>
        <v>27.04</v>
      </c>
      <c r="N22" s="6">
        <f t="shared" si="6"/>
        <v>4634.68</v>
      </c>
    </row>
    <row r="23" spans="1:14" x14ac:dyDescent="0.3">
      <c r="A23" s="4" t="s">
        <v>65</v>
      </c>
      <c r="B23" s="4" t="str">
        <f>INDEX(EmployeesTable[Employee Name],MATCH(A23,EmployeesTable[Employee ID],0))</f>
        <v>Dina Zaki</v>
      </c>
      <c r="C23" s="4" t="str">
        <f>INDEX(EmployeesTable[Department],MATCH(A23,EmployeesTable[Employee ID],0))</f>
        <v>Production</v>
      </c>
      <c r="D23" s="6">
        <f>INDEX(EmployeesTable[Basic Salary],MATCH(A23,EmployeesTable[Employee ID],0))</f>
        <v>5000</v>
      </c>
      <c r="E23" s="4">
        <f>COUNTIF(AttendanceTable[Employee ID],A23)</f>
        <v>10</v>
      </c>
      <c r="F23" s="4">
        <f t="shared" si="0"/>
        <v>0</v>
      </c>
      <c r="G23" s="4">
        <f>SUMIF(AttendanceTable[Employee ID],A23,AttendanceTable[Late Minutes])</f>
        <v>0</v>
      </c>
      <c r="H23" s="8">
        <f>SUMIF(AttendanceTable[Employee ID],A23,AttendanceTable[Overtime Hours])</f>
        <v>3.283333333333327</v>
      </c>
      <c r="I23" s="6">
        <f t="shared" si="1"/>
        <v>192.30769230769232</v>
      </c>
      <c r="J23" s="6">
        <f t="shared" si="2"/>
        <v>118.38942307692285</v>
      </c>
      <c r="K23" s="6">
        <f t="shared" si="3"/>
        <v>0</v>
      </c>
      <c r="L23" s="6">
        <f t="shared" si="4"/>
        <v>0</v>
      </c>
      <c r="M23" s="6">
        <f t="shared" si="5"/>
        <v>0</v>
      </c>
      <c r="N23" s="6">
        <f t="shared" si="6"/>
        <v>5118.3900000000003</v>
      </c>
    </row>
    <row r="24" spans="1:14" x14ac:dyDescent="0.3">
      <c r="A24" s="4" t="s">
        <v>67</v>
      </c>
      <c r="B24" s="4" t="str">
        <f>INDEX(EmployeesTable[Employee Name],MATCH(A24,EmployeesTable[Employee ID],0))</f>
        <v>Ali Abdallah</v>
      </c>
      <c r="C24" s="4" t="str">
        <f>INDEX(EmployeesTable[Department],MATCH(A24,EmployeesTable[Employee ID],0))</f>
        <v>HR</v>
      </c>
      <c r="D24" s="6">
        <f>INDEX(EmployeesTable[Basic Salary],MATCH(A24,EmployeesTable[Employee ID],0))</f>
        <v>6450</v>
      </c>
      <c r="E24" s="4">
        <f>COUNTIF(AttendanceTable[Employee ID],A24)</f>
        <v>10</v>
      </c>
      <c r="F24" s="4">
        <f t="shared" si="0"/>
        <v>0</v>
      </c>
      <c r="G24" s="4">
        <f>SUMIF(AttendanceTable[Employee ID],A24,AttendanceTable[Late Minutes])</f>
        <v>28.000000000000778</v>
      </c>
      <c r="H24" s="8">
        <f>SUMIF(AttendanceTable[Employee ID],A24,AttendanceTable[Overtime Hours])</f>
        <v>3.0499999999999972</v>
      </c>
      <c r="I24" s="6">
        <f t="shared" si="1"/>
        <v>248.07692307692307</v>
      </c>
      <c r="J24" s="6">
        <f t="shared" si="2"/>
        <v>141.86899038461524</v>
      </c>
      <c r="K24" s="6">
        <f t="shared" si="3"/>
        <v>0</v>
      </c>
      <c r="L24" s="6">
        <f t="shared" si="4"/>
        <v>14.47</v>
      </c>
      <c r="M24" s="6">
        <f t="shared" si="5"/>
        <v>14.47</v>
      </c>
      <c r="N24" s="6">
        <f t="shared" si="6"/>
        <v>6577.4</v>
      </c>
    </row>
    <row r="25" spans="1:14" x14ac:dyDescent="0.3">
      <c r="A25" s="4" t="s">
        <v>69</v>
      </c>
      <c r="B25" s="4" t="str">
        <f>INDEX(EmployeesTable[Employee Name],MATCH(A25,EmployeesTable[Employee ID],0))</f>
        <v>Salma Mahmoud</v>
      </c>
      <c r="C25" s="4" t="str">
        <f>INDEX(EmployeesTable[Department],MATCH(A25,EmployeesTable[Employee ID],0))</f>
        <v>Quality Control</v>
      </c>
      <c r="D25" s="6">
        <f>INDEX(EmployeesTable[Basic Salary],MATCH(A25,EmployeesTable[Employee ID],0))</f>
        <v>6700</v>
      </c>
      <c r="E25" s="4">
        <f>COUNTIF(AttendanceTable[Employee ID],A25)</f>
        <v>10</v>
      </c>
      <c r="F25" s="4">
        <f t="shared" si="0"/>
        <v>0</v>
      </c>
      <c r="G25" s="4">
        <f>SUMIF(AttendanceTable[Employee ID],A25,AttendanceTable[Late Minutes])</f>
        <v>53.000000000000611</v>
      </c>
      <c r="H25" s="8">
        <f>SUMIF(AttendanceTable[Employee ID],A25,AttendanceTable[Overtime Hours])</f>
        <v>1.6166666666666796</v>
      </c>
      <c r="I25" s="6">
        <f t="shared" si="1"/>
        <v>257.69230769230768</v>
      </c>
      <c r="J25" s="6">
        <f t="shared" si="2"/>
        <v>78.112980769231385</v>
      </c>
      <c r="K25" s="6">
        <f t="shared" si="3"/>
        <v>0</v>
      </c>
      <c r="L25" s="6">
        <f t="shared" si="4"/>
        <v>28.45</v>
      </c>
      <c r="M25" s="6">
        <f t="shared" si="5"/>
        <v>28.45</v>
      </c>
      <c r="N25" s="6">
        <f t="shared" si="6"/>
        <v>6749.66</v>
      </c>
    </row>
    <row r="26" spans="1:14" x14ac:dyDescent="0.3">
      <c r="A26" s="4" t="s">
        <v>71</v>
      </c>
      <c r="B26" s="4" t="str">
        <f>INDEX(EmployeesTable[Employee Name],MATCH(A26,EmployeesTable[Employee ID],0))</f>
        <v>Omar El-Din</v>
      </c>
      <c r="C26" s="4" t="str">
        <f>INDEX(EmployeesTable[Department],MATCH(A26,EmployeesTable[Employee ID],0))</f>
        <v>Quality Control</v>
      </c>
      <c r="D26" s="6">
        <f>INDEX(EmployeesTable[Basic Salary],MATCH(A26,EmployeesTable[Employee ID],0))</f>
        <v>7050</v>
      </c>
      <c r="E26" s="4">
        <f>COUNTIF(AttendanceTable[Employee ID],A26)</f>
        <v>9</v>
      </c>
      <c r="F26" s="4">
        <f t="shared" si="0"/>
        <v>1</v>
      </c>
      <c r="G26" s="4">
        <f>SUMIF(AttendanceTable[Employee ID],A26,AttendanceTable[Late Minutes])</f>
        <v>18.000000000000014</v>
      </c>
      <c r="H26" s="8">
        <f>SUMIF(AttendanceTable[Employee ID],A26,AttendanceTable[Overtime Hours])</f>
        <v>3.1500000000000048</v>
      </c>
      <c r="I26" s="6">
        <f t="shared" si="1"/>
        <v>271.15384615384613</v>
      </c>
      <c r="J26" s="6">
        <f t="shared" si="2"/>
        <v>160.15024038461561</v>
      </c>
      <c r="K26" s="6">
        <f t="shared" si="3"/>
        <v>271.15384615384613</v>
      </c>
      <c r="L26" s="6">
        <f t="shared" si="4"/>
        <v>10.17</v>
      </c>
      <c r="M26" s="6">
        <f t="shared" si="5"/>
        <v>281.32384615384615</v>
      </c>
      <c r="N26" s="6">
        <f t="shared" si="6"/>
        <v>6928.83</v>
      </c>
    </row>
    <row r="27" spans="1:14" x14ac:dyDescent="0.3">
      <c r="A27" s="4" t="s">
        <v>73</v>
      </c>
      <c r="B27" s="4" t="str">
        <f>INDEX(EmployeesTable[Employee Name],MATCH(A27,EmployeesTable[Employee ID],0))</f>
        <v>Yara Sabry</v>
      </c>
      <c r="C27" s="4" t="str">
        <f>INDEX(EmployeesTable[Department],MATCH(A27,EmployeesTable[Employee ID],0))</f>
        <v>Warehouse</v>
      </c>
      <c r="D27" s="6">
        <f>INDEX(EmployeesTable[Basic Salary],MATCH(A27,EmployeesTable[Employee ID],0))</f>
        <v>5250</v>
      </c>
      <c r="E27" s="4">
        <f>COUNTIF(AttendanceTable[Employee ID],A27)</f>
        <v>9</v>
      </c>
      <c r="F27" s="4">
        <f t="shared" si="0"/>
        <v>1</v>
      </c>
      <c r="G27" s="4">
        <f>SUMIF(AttendanceTable[Employee ID],A27,AttendanceTable[Late Minutes])</f>
        <v>0</v>
      </c>
      <c r="H27" s="8">
        <f>SUMIF(AttendanceTable[Employee ID],A27,AttendanceTable[Overtime Hours])</f>
        <v>0.31666666666667087</v>
      </c>
      <c r="I27" s="6">
        <f t="shared" si="1"/>
        <v>201.92307692307693</v>
      </c>
      <c r="J27" s="6">
        <f t="shared" si="2"/>
        <v>11.989182692307853</v>
      </c>
      <c r="K27" s="6">
        <f t="shared" si="3"/>
        <v>201.92307692307693</v>
      </c>
      <c r="L27" s="6">
        <f t="shared" si="4"/>
        <v>0</v>
      </c>
      <c r="M27" s="6">
        <f t="shared" si="5"/>
        <v>201.92307692307693</v>
      </c>
      <c r="N27" s="6">
        <f t="shared" si="6"/>
        <v>5060.07</v>
      </c>
    </row>
    <row r="28" spans="1:14" x14ac:dyDescent="0.3">
      <c r="A28" s="4" t="s">
        <v>75</v>
      </c>
      <c r="B28" s="4" t="str">
        <f>INDEX(EmployeesTable[Employee Name],MATCH(A28,EmployeesTable[Employee ID],0))</f>
        <v>Walid El-Din</v>
      </c>
      <c r="C28" s="4" t="str">
        <f>INDEX(EmployeesTable[Department],MATCH(A28,EmployeesTable[Employee ID],0))</f>
        <v>Warehouse</v>
      </c>
      <c r="D28" s="6">
        <f>INDEX(EmployeesTable[Basic Salary],MATCH(A28,EmployeesTable[Employee ID],0))</f>
        <v>5850</v>
      </c>
      <c r="E28" s="4">
        <f>COUNTIF(AttendanceTable[Employee ID],A28)</f>
        <v>10</v>
      </c>
      <c r="F28" s="4">
        <f t="shared" si="0"/>
        <v>0</v>
      </c>
      <c r="G28" s="4">
        <f>SUMIF(AttendanceTable[Employee ID],A28,AttendanceTable[Late Minutes])</f>
        <v>72.999999999999346</v>
      </c>
      <c r="H28" s="8">
        <f>SUMIF(AttendanceTable[Employee ID],A28,AttendanceTable[Overtime Hours])</f>
        <v>0.84999999999999964</v>
      </c>
      <c r="I28" s="6">
        <f t="shared" si="1"/>
        <v>225</v>
      </c>
      <c r="J28" s="6">
        <f t="shared" si="2"/>
        <v>35.859374999999986</v>
      </c>
      <c r="K28" s="6">
        <f t="shared" si="3"/>
        <v>0</v>
      </c>
      <c r="L28" s="6">
        <f t="shared" si="4"/>
        <v>34.22</v>
      </c>
      <c r="M28" s="6">
        <f t="shared" si="5"/>
        <v>34.22</v>
      </c>
      <c r="N28" s="6">
        <f t="shared" si="6"/>
        <v>5851.64</v>
      </c>
    </row>
    <row r="29" spans="1:14" x14ac:dyDescent="0.3">
      <c r="A29" s="4" t="s">
        <v>77</v>
      </c>
      <c r="B29" s="4" t="str">
        <f>INDEX(EmployeesTable[Employee Name],MATCH(A29,EmployeesTable[Employee ID],0))</f>
        <v>Mona Fahmy</v>
      </c>
      <c r="C29" s="4" t="str">
        <f>INDEX(EmployeesTable[Department],MATCH(A29,EmployeesTable[Employee ID],0))</f>
        <v>Finance</v>
      </c>
      <c r="D29" s="6">
        <f>INDEX(EmployeesTable[Basic Salary],MATCH(A29,EmployeesTable[Employee ID],0))</f>
        <v>9250</v>
      </c>
      <c r="E29" s="4">
        <f>COUNTIF(AttendanceTable[Employee ID],A29)</f>
        <v>10</v>
      </c>
      <c r="F29" s="4">
        <f t="shared" si="0"/>
        <v>0</v>
      </c>
      <c r="G29" s="4">
        <f>SUMIF(AttendanceTable[Employee ID],A29,AttendanceTable[Late Minutes])</f>
        <v>56.000000000000121</v>
      </c>
      <c r="H29" s="8">
        <f>SUMIF(AttendanceTable[Employee ID],A29,AttendanceTable[Overtime Hours])</f>
        <v>5.0499999999999741</v>
      </c>
      <c r="I29" s="6">
        <f t="shared" si="1"/>
        <v>355.76923076923077</v>
      </c>
      <c r="J29" s="6">
        <f t="shared" si="2"/>
        <v>336.86899038461365</v>
      </c>
      <c r="K29" s="6">
        <f t="shared" si="3"/>
        <v>0</v>
      </c>
      <c r="L29" s="6">
        <f t="shared" si="4"/>
        <v>41.51</v>
      </c>
      <c r="M29" s="6">
        <f t="shared" si="5"/>
        <v>41.51</v>
      </c>
      <c r="N29" s="6">
        <f t="shared" si="6"/>
        <v>9545.36</v>
      </c>
    </row>
    <row r="30" spans="1:14" x14ac:dyDescent="0.3">
      <c r="A30" s="4" t="s">
        <v>79</v>
      </c>
      <c r="B30" s="4" t="str">
        <f>INDEX(EmployeesTable[Employee Name],MATCH(A30,EmployeesTable[Employee ID],0))</f>
        <v>Mahmoud El-Din</v>
      </c>
      <c r="C30" s="4" t="str">
        <f>INDEX(EmployeesTable[Department],MATCH(A30,EmployeesTable[Employee ID],0))</f>
        <v>HR</v>
      </c>
      <c r="D30" s="6">
        <f>INDEX(EmployeesTable[Basic Salary],MATCH(A30,EmployeesTable[Employee ID],0))</f>
        <v>6700</v>
      </c>
      <c r="E30" s="4">
        <f>COUNTIF(AttendanceTable[Employee ID],A30)</f>
        <v>9</v>
      </c>
      <c r="F30" s="4">
        <f t="shared" si="0"/>
        <v>1</v>
      </c>
      <c r="G30" s="4">
        <f>SUMIF(AttendanceTable[Employee ID],A30,AttendanceTable[Late Minutes])</f>
        <v>62.000000000000661</v>
      </c>
      <c r="H30" s="8">
        <f>SUMIF(AttendanceTable[Employee ID],A30,AttendanceTable[Overtime Hours])</f>
        <v>3.3666666666666467</v>
      </c>
      <c r="I30" s="6">
        <f t="shared" si="1"/>
        <v>257.69230769230768</v>
      </c>
      <c r="J30" s="6">
        <f t="shared" si="2"/>
        <v>162.66826923076826</v>
      </c>
      <c r="K30" s="6">
        <f t="shared" si="3"/>
        <v>257.69230769230768</v>
      </c>
      <c r="L30" s="6">
        <f t="shared" si="4"/>
        <v>33.29</v>
      </c>
      <c r="M30" s="6">
        <f t="shared" si="5"/>
        <v>290.9823076923077</v>
      </c>
      <c r="N30" s="6">
        <f t="shared" si="6"/>
        <v>6571.69</v>
      </c>
    </row>
    <row r="31" spans="1:14" x14ac:dyDescent="0.3">
      <c r="A31" s="4" t="s">
        <v>81</v>
      </c>
      <c r="B31" s="4" t="str">
        <f>INDEX(EmployeesTable[Employee Name],MATCH(A31,EmployeesTable[Employee ID],0))</f>
        <v>Salma Abdallah</v>
      </c>
      <c r="C31" s="4" t="str">
        <f>INDEX(EmployeesTable[Department],MATCH(A31,EmployeesTable[Employee ID],0))</f>
        <v>Finance</v>
      </c>
      <c r="D31" s="6">
        <f>INDEX(EmployeesTable[Basic Salary],MATCH(A31,EmployeesTable[Employee ID],0))</f>
        <v>7750</v>
      </c>
      <c r="E31" s="4">
        <f>COUNTIF(AttendanceTable[Employee ID],A31)</f>
        <v>8</v>
      </c>
      <c r="F31" s="4">
        <f t="shared" si="0"/>
        <v>2</v>
      </c>
      <c r="G31" s="4">
        <f>SUMIF(AttendanceTable[Employee ID],A31,AttendanceTable[Late Minutes])</f>
        <v>33.999999999999879</v>
      </c>
      <c r="H31" s="8">
        <f>SUMIF(AttendanceTable[Employee ID],A31,AttendanceTable[Overtime Hours])</f>
        <v>2.3166666666666798</v>
      </c>
      <c r="I31" s="6">
        <f t="shared" si="1"/>
        <v>298.07692307692309</v>
      </c>
      <c r="J31" s="6">
        <f t="shared" si="2"/>
        <v>129.47716346153919</v>
      </c>
      <c r="K31" s="6">
        <f t="shared" si="3"/>
        <v>596.15384615384619</v>
      </c>
      <c r="L31" s="6">
        <f t="shared" si="4"/>
        <v>21.11</v>
      </c>
      <c r="M31" s="6">
        <f t="shared" si="5"/>
        <v>617.2638461538462</v>
      </c>
      <c r="N31" s="6">
        <f t="shared" si="6"/>
        <v>7262.21</v>
      </c>
    </row>
    <row r="32" spans="1:14" x14ac:dyDescent="0.3">
      <c r="A32" s="4" t="s">
        <v>83</v>
      </c>
      <c r="B32" s="4" t="str">
        <f>INDEX(EmployeesTable[Employee Name],MATCH(A32,EmployeesTable[Employee ID],0))</f>
        <v>Walid Shalaby</v>
      </c>
      <c r="C32" s="4" t="str">
        <f>INDEX(EmployeesTable[Department],MATCH(A32,EmployeesTable[Employee ID],0))</f>
        <v>Maintenance</v>
      </c>
      <c r="D32" s="6">
        <f>INDEX(EmployeesTable[Basic Salary],MATCH(A32,EmployeesTable[Employee ID],0))</f>
        <v>5050</v>
      </c>
      <c r="E32" s="4">
        <f>COUNTIF(AttendanceTable[Employee ID],A32)</f>
        <v>10</v>
      </c>
      <c r="F32" s="4">
        <f t="shared" si="0"/>
        <v>0</v>
      </c>
      <c r="G32" s="4">
        <f>SUMIF(AttendanceTable[Employee ID],A32,AttendanceTable[Late Minutes])</f>
        <v>29.999999999999496</v>
      </c>
      <c r="H32" s="8">
        <f>SUMIF(AttendanceTable[Employee ID],A32,AttendanceTable[Overtime Hours])</f>
        <v>1.5166666666666719</v>
      </c>
      <c r="I32" s="6">
        <f t="shared" si="1"/>
        <v>194.23076923076923</v>
      </c>
      <c r="J32" s="6">
        <f t="shared" si="2"/>
        <v>55.234375000000185</v>
      </c>
      <c r="K32" s="6">
        <f t="shared" si="3"/>
        <v>0</v>
      </c>
      <c r="L32" s="6">
        <f t="shared" si="4"/>
        <v>12.14</v>
      </c>
      <c r="M32" s="6">
        <f t="shared" si="5"/>
        <v>12.14</v>
      </c>
      <c r="N32" s="6">
        <f t="shared" si="6"/>
        <v>5093.09</v>
      </c>
    </row>
    <row r="33" spans="1:14" x14ac:dyDescent="0.3">
      <c r="A33" s="4" t="s">
        <v>85</v>
      </c>
      <c r="B33" s="4" t="str">
        <f>INDEX(EmployeesTable[Employee Name],MATCH(A33,EmployeesTable[Employee ID],0))</f>
        <v>Fady El-Din</v>
      </c>
      <c r="C33" s="4" t="str">
        <f>INDEX(EmployeesTable[Department],MATCH(A33,EmployeesTable[Employee ID],0))</f>
        <v>Warehouse</v>
      </c>
      <c r="D33" s="6">
        <f>INDEX(EmployeesTable[Basic Salary],MATCH(A33,EmployeesTable[Employee ID],0))</f>
        <v>5300</v>
      </c>
      <c r="E33" s="4">
        <f>COUNTIF(AttendanceTable[Employee ID],A33)</f>
        <v>10</v>
      </c>
      <c r="F33" s="4">
        <f t="shared" si="0"/>
        <v>0</v>
      </c>
      <c r="G33" s="4">
        <f>SUMIF(AttendanceTable[Employee ID],A33,AttendanceTable[Late Minutes])</f>
        <v>117.00000000000006</v>
      </c>
      <c r="H33" s="8">
        <f>SUMIF(AttendanceTable[Employee ID],A33,AttendanceTable[Overtime Hours])</f>
        <v>1.8000000000000069</v>
      </c>
      <c r="I33" s="6">
        <f t="shared" si="1"/>
        <v>203.84615384615384</v>
      </c>
      <c r="J33" s="6">
        <f t="shared" si="2"/>
        <v>68.79807692307719</v>
      </c>
      <c r="K33" s="6">
        <f t="shared" si="3"/>
        <v>0</v>
      </c>
      <c r="L33" s="6">
        <f t="shared" si="4"/>
        <v>49.69</v>
      </c>
      <c r="M33" s="6">
        <f t="shared" si="5"/>
        <v>49.69</v>
      </c>
      <c r="N33" s="6">
        <f t="shared" si="6"/>
        <v>5319.11</v>
      </c>
    </row>
    <row r="34" spans="1:14" x14ac:dyDescent="0.3">
      <c r="A34" s="4" t="s">
        <v>87</v>
      </c>
      <c r="B34" s="4" t="str">
        <f>INDEX(EmployeesTable[Employee Name],MATCH(A34,EmployeesTable[Employee ID],0))</f>
        <v>Yara Farouk</v>
      </c>
      <c r="C34" s="4" t="str">
        <f>INDEX(EmployeesTable[Department],MATCH(A34,EmployeesTable[Employee ID],0))</f>
        <v>Quality Control</v>
      </c>
      <c r="D34" s="6">
        <f>INDEX(EmployeesTable[Basic Salary],MATCH(A34,EmployeesTable[Employee ID],0))</f>
        <v>7000</v>
      </c>
      <c r="E34" s="4">
        <f>COUNTIF(AttendanceTable[Employee ID],A34)</f>
        <v>10</v>
      </c>
      <c r="F34" s="4">
        <f t="shared" si="0"/>
        <v>0</v>
      </c>
      <c r="G34" s="4">
        <f>SUMIF(AttendanceTable[Employee ID],A34,AttendanceTable[Late Minutes])</f>
        <v>0</v>
      </c>
      <c r="H34" s="8">
        <f>SUMIF(AttendanceTable[Employee ID],A34,AttendanceTable[Overtime Hours])</f>
        <v>3.3333333333327886E-2</v>
      </c>
      <c r="I34" s="6">
        <f t="shared" si="1"/>
        <v>269.23076923076923</v>
      </c>
      <c r="J34" s="6">
        <f t="shared" si="2"/>
        <v>1.6826923076920326</v>
      </c>
      <c r="K34" s="6">
        <f t="shared" si="3"/>
        <v>0</v>
      </c>
      <c r="L34" s="6">
        <f t="shared" si="4"/>
        <v>0</v>
      </c>
      <c r="M34" s="6">
        <f t="shared" si="5"/>
        <v>0</v>
      </c>
      <c r="N34" s="6">
        <f t="shared" si="6"/>
        <v>7001.68</v>
      </c>
    </row>
    <row r="35" spans="1:14" x14ac:dyDescent="0.3">
      <c r="A35" s="4" t="s">
        <v>89</v>
      </c>
      <c r="B35" s="4" t="str">
        <f>INDEX(EmployeesTable[Employee Name],MATCH(A35,EmployeesTable[Employee ID],0))</f>
        <v>Khaled Abdallah</v>
      </c>
      <c r="C35" s="4" t="str">
        <f>INDEX(EmployeesTable[Department],MATCH(A35,EmployeesTable[Employee ID],0))</f>
        <v>Maintenance</v>
      </c>
      <c r="D35" s="6">
        <f>INDEX(EmployeesTable[Basic Salary],MATCH(A35,EmployeesTable[Employee ID],0))</f>
        <v>6100</v>
      </c>
      <c r="E35" s="4">
        <f>COUNTIF(AttendanceTable[Employee ID],A35)</f>
        <v>9</v>
      </c>
      <c r="F35" s="4">
        <f t="shared" si="0"/>
        <v>1</v>
      </c>
      <c r="G35" s="4">
        <f>SUMIF(AttendanceTable[Employee ID],A35,AttendanceTable[Late Minutes])</f>
        <v>56.000000000000121</v>
      </c>
      <c r="H35" s="8">
        <f>SUMIF(AttendanceTable[Employee ID],A35,AttendanceTable[Overtime Hours])</f>
        <v>1.3666666666666698</v>
      </c>
      <c r="I35" s="6">
        <f t="shared" si="1"/>
        <v>234.61538461538461</v>
      </c>
      <c r="J35" s="6">
        <f t="shared" si="2"/>
        <v>60.120192307692449</v>
      </c>
      <c r="K35" s="6">
        <f t="shared" si="3"/>
        <v>234.61538461538461</v>
      </c>
      <c r="L35" s="6">
        <f t="shared" si="4"/>
        <v>27.37</v>
      </c>
      <c r="M35" s="6">
        <f t="shared" si="5"/>
        <v>261.98538461538459</v>
      </c>
      <c r="N35" s="6">
        <f t="shared" si="6"/>
        <v>5898.13</v>
      </c>
    </row>
    <row r="36" spans="1:14" x14ac:dyDescent="0.3">
      <c r="A36" s="4" t="s">
        <v>91</v>
      </c>
      <c r="B36" s="4" t="str">
        <f>INDEX(EmployeesTable[Employee Name],MATCH(A36,EmployeesTable[Employee ID],0))</f>
        <v>Fady Hassan</v>
      </c>
      <c r="C36" s="4" t="str">
        <f>INDEX(EmployeesTable[Department],MATCH(A36,EmployeesTable[Employee ID],0))</f>
        <v>Finance</v>
      </c>
      <c r="D36" s="6">
        <f>INDEX(EmployeesTable[Basic Salary],MATCH(A36,EmployeesTable[Employee ID],0))</f>
        <v>7100</v>
      </c>
      <c r="E36" s="4">
        <f>COUNTIF(AttendanceTable[Employee ID],A36)</f>
        <v>9</v>
      </c>
      <c r="F36" s="4">
        <f t="shared" si="0"/>
        <v>1</v>
      </c>
      <c r="G36" s="4">
        <f>SUMIF(AttendanceTable[Employee ID],A36,AttendanceTable[Late Minutes])</f>
        <v>58.999999999999709</v>
      </c>
      <c r="H36" s="8">
        <f>SUMIF(AttendanceTable[Employee ID],A36,AttendanceTable[Overtime Hours])</f>
        <v>0</v>
      </c>
      <c r="I36" s="6">
        <f t="shared" si="1"/>
        <v>273.07692307692309</v>
      </c>
      <c r="J36" s="6">
        <f t="shared" si="2"/>
        <v>0</v>
      </c>
      <c r="K36" s="6">
        <f t="shared" si="3"/>
        <v>273.07692307692309</v>
      </c>
      <c r="L36" s="6">
        <f t="shared" si="4"/>
        <v>33.57</v>
      </c>
      <c r="M36" s="6">
        <f t="shared" si="5"/>
        <v>306.64692307692309</v>
      </c>
      <c r="N36" s="6">
        <f t="shared" si="6"/>
        <v>6793.35</v>
      </c>
    </row>
    <row r="38" spans="1:14" x14ac:dyDescent="0.3">
      <c r="A38" s="15" t="s">
        <v>110</v>
      </c>
      <c r="B38" s="15"/>
      <c r="C38" s="15"/>
      <c r="D38" s="15"/>
      <c r="E38" s="15"/>
      <c r="F38" s="15"/>
      <c r="G38" s="15"/>
      <c r="H38" s="15"/>
    </row>
  </sheetData>
  <mergeCells count="1">
    <mergeCell ref="A38:H38"/>
  </mergeCell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57"/>
  <sheetViews>
    <sheetView zoomScale="91" zoomScaleNormal="100" workbookViewId="0">
      <selection activeCell="K11" sqref="K11"/>
    </sheetView>
  </sheetViews>
  <sheetFormatPr defaultColWidth="8.6640625" defaultRowHeight="14.4" x14ac:dyDescent="0.3"/>
  <cols>
    <col min="1" max="1" width="24" bestFit="1" customWidth="1"/>
    <col min="2" max="2" width="19.5546875" style="22" bestFit="1" customWidth="1"/>
  </cols>
  <sheetData>
    <row r="1" spans="1:7" ht="17.399999999999999" x14ac:dyDescent="0.3">
      <c r="A1" s="14" t="s">
        <v>111</v>
      </c>
      <c r="B1" s="14"/>
      <c r="C1" s="14"/>
      <c r="D1" s="14"/>
    </row>
    <row r="3" spans="1:7" x14ac:dyDescent="0.3">
      <c r="A3" s="2" t="s">
        <v>112</v>
      </c>
      <c r="B3" s="20" t="s">
        <v>18</v>
      </c>
    </row>
    <row r="5" spans="1:7" x14ac:dyDescent="0.3">
      <c r="A5" s="9" t="s">
        <v>113</v>
      </c>
      <c r="B5" s="21" t="s">
        <v>114</v>
      </c>
    </row>
    <row r="6" spans="1:7" x14ac:dyDescent="0.3">
      <c r="A6" s="4" t="s">
        <v>115</v>
      </c>
      <c r="B6" s="8">
        <f>COUNTIF(PayrollTable[Department],B3)</f>
        <v>5</v>
      </c>
    </row>
    <row r="7" spans="1:7" x14ac:dyDescent="0.3">
      <c r="A7" s="4" t="s">
        <v>116</v>
      </c>
      <c r="B7" s="8">
        <f>SUMIFS(PayrollTable[Net Salary],PayrollTable[Department],B3)</f>
        <v>28400.04</v>
      </c>
    </row>
    <row r="8" spans="1:7" x14ac:dyDescent="0.3">
      <c r="A8" s="4" t="s">
        <v>117</v>
      </c>
      <c r="B8" s="8">
        <f>AVERAGEIFS(PayrollTable[Net Salary],PayrollTable[Department],B3)</f>
        <v>5680.0079999999998</v>
      </c>
    </row>
    <row r="9" spans="1:7" x14ac:dyDescent="0.3">
      <c r="A9" s="4" t="s">
        <v>118</v>
      </c>
      <c r="B9" s="8">
        <f>_xlfn.MAXIFS(PayrollTable[Net Salary],PayrollTable[Department],B3)</f>
        <v>6288.82</v>
      </c>
    </row>
    <row r="10" spans="1:7" x14ac:dyDescent="0.3">
      <c r="A10" s="4" t="s">
        <v>119</v>
      </c>
      <c r="B10" s="8">
        <f>_xlfn.MINIFS(PayrollTable[Net Salary],PayrollTable[Department],B3)</f>
        <v>5118.3900000000003</v>
      </c>
    </row>
    <row r="11" spans="1:7" x14ac:dyDescent="0.3">
      <c r="A11" s="4" t="s">
        <v>103</v>
      </c>
      <c r="B11" s="8">
        <f>SUMIFS(PayrollTable[Total Overtime Hours],PayrollTable[Department],B3)</f>
        <v>13.016666666666641</v>
      </c>
    </row>
    <row r="12" spans="1:7" x14ac:dyDescent="0.3">
      <c r="A12" s="4" t="s">
        <v>120</v>
      </c>
      <c r="B12" s="8">
        <f>SUMIFS(PayrollTable[Overtime Pay],PayrollTable[Department],B3)</f>
        <v>529.37499999999909</v>
      </c>
    </row>
    <row r="13" spans="1:7" x14ac:dyDescent="0.3">
      <c r="A13" s="4" t="s">
        <v>121</v>
      </c>
      <c r="B13" s="8">
        <f>SUMIFS(PayrollTable[Absent Days],PayrollTable[Department],B3)</f>
        <v>1</v>
      </c>
    </row>
    <row r="14" spans="1:7" x14ac:dyDescent="0.3">
      <c r="A14" s="4" t="s">
        <v>108</v>
      </c>
      <c r="B14" s="8">
        <f>SUMIFS(PayrollTable[Total Deductions],PayrollTable[Department],B3)</f>
        <v>429.33769230769235</v>
      </c>
      <c r="G14" s="34"/>
    </row>
    <row r="16" spans="1:7" x14ac:dyDescent="0.3">
      <c r="A16" s="15" t="s">
        <v>122</v>
      </c>
      <c r="B16" s="15"/>
      <c r="C16" s="15"/>
      <c r="D16" s="15"/>
    </row>
    <row r="19" spans="1:6" x14ac:dyDescent="0.3">
      <c r="A19" s="9" t="s">
        <v>123</v>
      </c>
      <c r="B19" s="21" t="s">
        <v>114</v>
      </c>
      <c r="D19" s="23"/>
      <c r="E19" s="24"/>
      <c r="F19" s="25"/>
    </row>
    <row r="20" spans="1:6" x14ac:dyDescent="0.3">
      <c r="A20" s="10" t="s">
        <v>124</v>
      </c>
      <c r="B20" s="32">
        <f>COUNTIF(EmployeesTable[Status],"Active")</f>
        <v>35</v>
      </c>
      <c r="D20" s="26"/>
      <c r="E20" s="27"/>
      <c r="F20" s="28"/>
    </row>
    <row r="21" spans="1:6" x14ac:dyDescent="0.3">
      <c r="A21" s="10" t="s">
        <v>125</v>
      </c>
      <c r="B21" s="35">
        <f>SUM(PayrollTable[Net Salary])</f>
        <v>219558.06999999998</v>
      </c>
      <c r="D21" s="26"/>
      <c r="E21" s="27"/>
      <c r="F21" s="28"/>
    </row>
    <row r="22" spans="1:6" x14ac:dyDescent="0.3">
      <c r="A22" s="4" t="s">
        <v>103</v>
      </c>
      <c r="B22" s="8">
        <f>SUM(PayrollTable[Total Overtime Hours])</f>
        <v>80.783333333333204</v>
      </c>
      <c r="D22" s="26"/>
      <c r="E22" s="27"/>
      <c r="F22" s="28"/>
    </row>
    <row r="23" spans="1:6" x14ac:dyDescent="0.3">
      <c r="A23" s="4" t="s">
        <v>126</v>
      </c>
      <c r="B23" s="8">
        <f>SUM(PayrollTable[Overtime Pay])</f>
        <v>3627.6382211538403</v>
      </c>
      <c r="D23" s="26"/>
      <c r="E23" s="27"/>
      <c r="F23" s="28"/>
    </row>
    <row r="24" spans="1:6" x14ac:dyDescent="0.3">
      <c r="A24" s="4" t="s">
        <v>121</v>
      </c>
      <c r="B24" s="32">
        <f>SUM(PayrollTable[Absent Days])</f>
        <v>13</v>
      </c>
      <c r="D24" s="26"/>
      <c r="E24" s="27"/>
      <c r="F24" s="28"/>
    </row>
    <row r="25" spans="1:6" x14ac:dyDescent="0.3">
      <c r="A25" s="4" t="s">
        <v>108</v>
      </c>
      <c r="B25" s="8">
        <f>SUM(PayrollTable[Total Deductions])</f>
        <v>4219.5815384615389</v>
      </c>
      <c r="D25" s="26"/>
      <c r="E25" s="27"/>
      <c r="F25" s="28"/>
    </row>
    <row r="26" spans="1:6" x14ac:dyDescent="0.3">
      <c r="D26" s="26"/>
      <c r="E26" s="27"/>
      <c r="F26" s="28"/>
    </row>
    <row r="27" spans="1:6" x14ac:dyDescent="0.3">
      <c r="D27" s="26"/>
      <c r="E27" s="27"/>
      <c r="F27" s="28"/>
    </row>
    <row r="28" spans="1:6" x14ac:dyDescent="0.3">
      <c r="D28" s="26"/>
      <c r="E28" s="27"/>
      <c r="F28" s="28"/>
    </row>
    <row r="29" spans="1:6" x14ac:dyDescent="0.3">
      <c r="D29" s="26"/>
      <c r="E29" s="27"/>
      <c r="F29" s="28"/>
    </row>
    <row r="30" spans="1:6" x14ac:dyDescent="0.3">
      <c r="A30" s="9" t="s">
        <v>2</v>
      </c>
      <c r="B30" s="21" t="s">
        <v>116</v>
      </c>
      <c r="C30" s="9" t="s">
        <v>127</v>
      </c>
      <c r="D30" s="26"/>
      <c r="E30" s="27"/>
      <c r="F30" s="28"/>
    </row>
    <row r="31" spans="1:6" x14ac:dyDescent="0.3">
      <c r="A31" s="4" t="s">
        <v>22</v>
      </c>
      <c r="B31" s="8">
        <f>SUMIFS(PayrollTable[Net Salary],PayrollTable[Department],A31)</f>
        <v>30262.010000000002</v>
      </c>
      <c r="C31" s="4">
        <f>COUNTIF(PayrollTable[Department],A31)</f>
        <v>4</v>
      </c>
      <c r="D31" s="26"/>
      <c r="E31" s="27"/>
      <c r="F31" s="28"/>
    </row>
    <row r="32" spans="1:6" x14ac:dyDescent="0.3">
      <c r="A32" s="4" t="s">
        <v>14</v>
      </c>
      <c r="B32" s="8">
        <f>SUMIFS(PayrollTable[Net Salary],PayrollTable[Department],A32)</f>
        <v>41908.44</v>
      </c>
      <c r="C32" s="4">
        <f>COUNTIF(PayrollTable[Department],A32)</f>
        <v>6</v>
      </c>
      <c r="D32" s="26"/>
      <c r="E32" s="27"/>
      <c r="F32" s="28"/>
    </row>
    <row r="33" spans="1:6" x14ac:dyDescent="0.3">
      <c r="A33" s="4" t="s">
        <v>42</v>
      </c>
      <c r="B33" s="8">
        <f>SUMIFS(PayrollTable[Net Salary],PayrollTable[Department],A33)</f>
        <v>15846.64</v>
      </c>
      <c r="C33" s="4">
        <f>COUNTIF(PayrollTable[Department],A33)</f>
        <v>3</v>
      </c>
      <c r="D33" s="26"/>
      <c r="E33" s="27"/>
      <c r="F33" s="28"/>
    </row>
    <row r="34" spans="1:6" x14ac:dyDescent="0.3">
      <c r="A34" s="4" t="s">
        <v>18</v>
      </c>
      <c r="B34" s="8">
        <f>SUMIFS(PayrollTable[Net Salary],PayrollTable[Department],A34)</f>
        <v>28400.04</v>
      </c>
      <c r="C34" s="4">
        <f>COUNTIF(PayrollTable[Department],A34)</f>
        <v>5</v>
      </c>
      <c r="D34" s="26"/>
      <c r="E34" s="27"/>
      <c r="F34" s="28"/>
    </row>
    <row r="35" spans="1:6" x14ac:dyDescent="0.3">
      <c r="A35" s="4" t="s">
        <v>26</v>
      </c>
      <c r="B35" s="8">
        <f>SUMIFS(PayrollTable[Net Salary],PayrollTable[Department],A35)</f>
        <v>55834.29</v>
      </c>
      <c r="C35" s="4">
        <f>COUNTIF(PayrollTable[Department],A35)</f>
        <v>8</v>
      </c>
      <c r="D35" s="26"/>
      <c r="E35" s="27"/>
      <c r="F35" s="28"/>
    </row>
    <row r="36" spans="1:6" x14ac:dyDescent="0.3">
      <c r="A36" s="4" t="s">
        <v>9</v>
      </c>
      <c r="B36" s="8">
        <f>SUMIFS(PayrollTable[Net Salary],PayrollTable[Department],A36)</f>
        <v>47306.65</v>
      </c>
      <c r="C36" s="4">
        <f>COUNTIF(PayrollTable[Department],A36)</f>
        <v>9</v>
      </c>
      <c r="D36" s="29"/>
      <c r="E36" s="30"/>
      <c r="F36" s="31"/>
    </row>
    <row r="40" spans="1:6" x14ac:dyDescent="0.3">
      <c r="A40" s="9" t="s">
        <v>128</v>
      </c>
      <c r="B40" s="21" t="s">
        <v>130</v>
      </c>
    </row>
    <row r="41" spans="1:6" x14ac:dyDescent="0.3">
      <c r="A41" s="4" t="s">
        <v>22</v>
      </c>
      <c r="B41" s="8">
        <v>4</v>
      </c>
    </row>
    <row r="42" spans="1:6" x14ac:dyDescent="0.3">
      <c r="A42" s="4" t="s">
        <v>14</v>
      </c>
      <c r="B42" s="8">
        <v>6</v>
      </c>
    </row>
    <row r="43" spans="1:6" x14ac:dyDescent="0.3">
      <c r="A43" s="4" t="s">
        <v>42</v>
      </c>
      <c r="B43" s="8">
        <v>3</v>
      </c>
    </row>
    <row r="44" spans="1:6" x14ac:dyDescent="0.3">
      <c r="A44" s="4" t="s">
        <v>18</v>
      </c>
      <c r="B44" s="8">
        <v>5</v>
      </c>
    </row>
    <row r="45" spans="1:6" x14ac:dyDescent="0.3">
      <c r="A45" s="4" t="s">
        <v>26</v>
      </c>
      <c r="B45" s="8">
        <v>8</v>
      </c>
    </row>
    <row r="46" spans="1:6" x14ac:dyDescent="0.3">
      <c r="A46" s="4" t="s">
        <v>9</v>
      </c>
      <c r="B46" s="8">
        <v>9</v>
      </c>
    </row>
    <row r="47" spans="1:6" x14ac:dyDescent="0.3">
      <c r="A47" s="21" t="s">
        <v>129</v>
      </c>
      <c r="B47" s="21">
        <v>35</v>
      </c>
    </row>
    <row r="48" spans="1:6" x14ac:dyDescent="0.3">
      <c r="B48"/>
    </row>
    <row r="49" spans="2:2" x14ac:dyDescent="0.3">
      <c r="B49"/>
    </row>
    <row r="50" spans="2:2" x14ac:dyDescent="0.3">
      <c r="B50"/>
    </row>
    <row r="51" spans="2:2" x14ac:dyDescent="0.3">
      <c r="B51"/>
    </row>
    <row r="52" spans="2:2" x14ac:dyDescent="0.3">
      <c r="B52"/>
    </row>
    <row r="53" spans="2:2" x14ac:dyDescent="0.3">
      <c r="B53"/>
    </row>
    <row r="54" spans="2:2" x14ac:dyDescent="0.3">
      <c r="B54"/>
    </row>
    <row r="55" spans="2:2" x14ac:dyDescent="0.3">
      <c r="B55"/>
    </row>
    <row r="56" spans="2:2" x14ac:dyDescent="0.3">
      <c r="B56"/>
    </row>
    <row r="57" spans="2:2" x14ac:dyDescent="0.3">
      <c r="B57"/>
    </row>
  </sheetData>
  <mergeCells count="2">
    <mergeCell ref="A1:D1"/>
    <mergeCell ref="A16:D16"/>
  </mergeCells>
  <dataValidations count="1">
    <dataValidation type="list" sqref="B3" xr:uid="{00000000-0002-0000-0400-000000000000}">
      <formula1>"Finance,HR,Maintenance,Production,Quality Control,Warehouse"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14"/>
  <sheetViews>
    <sheetView showGridLines="0" zoomScale="63" zoomScaleNormal="63" workbookViewId="0">
      <selection activeCell="T15" sqref="T15"/>
    </sheetView>
  </sheetViews>
  <sheetFormatPr defaultColWidth="8.6640625" defaultRowHeight="14.4" x14ac:dyDescent="0.3"/>
  <cols>
    <col min="1" max="1" width="26" style="19" customWidth="1"/>
    <col min="2" max="2" width="18" style="19" customWidth="1"/>
    <col min="3" max="16384" width="8.6640625" style="19"/>
  </cols>
  <sheetData>
    <row r="1" spans="1:18" s="17" customFormat="1" ht="30" customHeight="1" x14ac:dyDescent="0.6">
      <c r="A1" s="16"/>
      <c r="B1" s="16"/>
      <c r="C1" s="16"/>
      <c r="D1" s="16"/>
      <c r="E1" s="16"/>
      <c r="F1" s="16"/>
    </row>
    <row r="2" spans="1:18" ht="17.399999999999999" x14ac:dyDescent="0.3">
      <c r="A2" s="18"/>
      <c r="B2" s="18"/>
      <c r="C2" s="18"/>
      <c r="D2" s="18"/>
      <c r="E2" s="18"/>
      <c r="F2" s="18"/>
    </row>
    <row r="3" spans="1:18" ht="17.399999999999999" x14ac:dyDescent="0.3">
      <c r="A3" s="18"/>
      <c r="B3" s="18"/>
      <c r="C3" s="18"/>
      <c r="D3" s="18"/>
      <c r="E3" s="18"/>
      <c r="F3" s="18"/>
    </row>
    <row r="4" spans="1:18" ht="17.399999999999999" x14ac:dyDescent="0.3">
      <c r="A4" s="18"/>
      <c r="B4" s="18"/>
      <c r="C4" s="18"/>
      <c r="D4" s="18"/>
      <c r="E4" s="18"/>
      <c r="F4" s="18"/>
    </row>
    <row r="5" spans="1:18" ht="17.399999999999999" x14ac:dyDescent="0.3">
      <c r="A5" s="18"/>
      <c r="B5" s="18"/>
      <c r="C5" s="18"/>
      <c r="D5" s="18"/>
      <c r="E5" s="18"/>
      <c r="F5" s="18"/>
    </row>
    <row r="6" spans="1:18" ht="17.399999999999999" x14ac:dyDescent="0.3">
      <c r="A6" s="18"/>
      <c r="B6" s="18"/>
      <c r="C6" s="18"/>
      <c r="D6" s="18"/>
      <c r="E6" s="18"/>
      <c r="F6" s="18"/>
    </row>
    <row r="7" spans="1:18" ht="17.399999999999999" x14ac:dyDescent="0.3">
      <c r="A7" s="18"/>
      <c r="B7" s="18"/>
      <c r="C7" s="18"/>
      <c r="D7" s="18"/>
      <c r="E7" s="18"/>
      <c r="F7" s="18"/>
    </row>
    <row r="8" spans="1:18" ht="17.399999999999999" x14ac:dyDescent="0.3">
      <c r="A8" s="18"/>
      <c r="B8" s="18"/>
      <c r="C8" s="18"/>
      <c r="D8" s="18"/>
      <c r="E8" s="18"/>
      <c r="F8" s="18"/>
    </row>
    <row r="9" spans="1:18" ht="17.399999999999999" x14ac:dyDescent="0.3">
      <c r="A9" s="18"/>
      <c r="B9" s="18"/>
      <c r="C9" s="18"/>
      <c r="D9" s="18"/>
      <c r="E9" s="18"/>
      <c r="F9" s="18"/>
      <c r="R9" s="33"/>
    </row>
    <row r="10" spans="1:18" ht="17.399999999999999" x14ac:dyDescent="0.3">
      <c r="A10" s="18"/>
      <c r="B10" s="18"/>
      <c r="C10" s="18"/>
      <c r="D10" s="18"/>
      <c r="E10" s="18"/>
      <c r="F10" s="18"/>
    </row>
    <row r="11" spans="1:18" ht="17.399999999999999" x14ac:dyDescent="0.3">
      <c r="A11" s="18"/>
      <c r="B11" s="18"/>
      <c r="C11" s="18"/>
      <c r="D11" s="18"/>
      <c r="E11" s="18"/>
      <c r="F11" s="18"/>
    </row>
    <row r="12" spans="1:18" ht="17.399999999999999" x14ac:dyDescent="0.3">
      <c r="A12" s="18"/>
      <c r="B12" s="18"/>
      <c r="C12" s="18"/>
      <c r="D12" s="18"/>
      <c r="E12" s="18"/>
      <c r="F12" s="18"/>
    </row>
    <row r="13" spans="1:18" ht="17.399999999999999" x14ac:dyDescent="0.3">
      <c r="A13" s="18"/>
      <c r="B13" s="18"/>
      <c r="C13" s="18"/>
      <c r="D13" s="18"/>
      <c r="E13" s="18"/>
      <c r="F13" s="18"/>
    </row>
    <row r="14" spans="1:18" ht="17.399999999999999" x14ac:dyDescent="0.3">
      <c r="A14" s="18"/>
      <c r="B14" s="18"/>
      <c r="C14" s="18"/>
      <c r="D14" s="18"/>
      <c r="E14" s="18"/>
      <c r="F14" s="18"/>
    </row>
  </sheetData>
  <mergeCells count="1">
    <mergeCell ref="A1:F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README</vt:lpstr>
      <vt:lpstr>Employees</vt:lpstr>
      <vt:lpstr>Attendance</vt:lpstr>
      <vt:lpstr>Payroll</vt:lpstr>
      <vt:lpstr>HR Report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fathallah saed</cp:lastModifiedBy>
  <cp:revision>1</cp:revision>
  <dcterms:created xsi:type="dcterms:W3CDTF">2026-08-02T19:07:14Z</dcterms:created>
  <dcterms:modified xsi:type="dcterms:W3CDTF">2026-08-25T16:34:19Z</dcterms:modified>
  <dc:language>en-US</dc:language>
</cp:coreProperties>
</file>